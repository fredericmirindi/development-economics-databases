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C HDI Data 1990-2023" sheetId="1" r:id="rId5"/>
    <sheet state="visible" name="Data Sources" sheetId="2" r:id="rId6"/>
    <sheet state="visible" name="Comparative Charts" sheetId="3" r:id="rId7"/>
    <sheet state="visible" name="Saudi Arabia HDI Data 1990-2023" sheetId="4" r:id="rId8"/>
    <sheet state="visible" name="Cuba HDI Data 1990-2023" sheetId="5" r:id="rId9"/>
  </sheets>
  <definedNames/>
  <calcPr/>
</workbook>
</file>

<file path=xl/sharedStrings.xml><?xml version="1.0" encoding="utf-8"?>
<sst xmlns="http://schemas.openxmlformats.org/spreadsheetml/2006/main" count="87" uniqueCount="48">
  <si>
    <t>Congo (Democratic Republic of the) - Human Development Index (HDI) Data, 1990-2023</t>
  </si>
  <si>
    <t>Source: UNDP Human Development Reports (hdr.undp.org) | Data updates as of May 6th, 2025</t>
  </si>
  <si>
    <t>Year</t>
  </si>
  <si>
    <t>HDI Value</t>
  </si>
  <si>
    <t>Life Expectancy at Birth (years)</t>
  </si>
  <si>
    <t>Expected Years of Schooling (years)</t>
  </si>
  <si>
    <t>Mean Years of Schooling (years)</t>
  </si>
  <si>
    <t>GNI per Capita (2021 PPP$)</t>
  </si>
  <si>
    <t>HDI Data Sources &amp; References</t>
  </si>
  <si>
    <t>Dataset</t>
  </si>
  <si>
    <t>Organization</t>
  </si>
  <si>
    <t>Data Period</t>
  </si>
  <si>
    <t>Description</t>
  </si>
  <si>
    <t>Main URL</t>
  </si>
  <si>
    <t>Data Center URL</t>
  </si>
  <si>
    <t>Country Profiles URL</t>
  </si>
  <si>
    <t>Documentation &amp; Downloads URL</t>
  </si>
  <si>
    <t>Human Development Index (HDI)</t>
  </si>
  <si>
    <t>United Nations Development Programme (UNDP)</t>
  </si>
  <si>
    <t>1990-2023</t>
  </si>
  <si>
    <t>Summary measure of long-term progress in health, education, and standard of living</t>
  </si>
  <si>
    <t>https://hdr.undp.org/</t>
  </si>
  <si>
    <t>https://hdr.undp.org/data-center</t>
  </si>
  <si>
    <t>https://hdr.undp.org/data-center/country-insights</t>
  </si>
  <si>
    <t>https://hdr.undp.org/data-center/documentation-and-downloads</t>
  </si>
  <si>
    <t>Individual Country Data Pages</t>
  </si>
  <si>
    <t>Country</t>
  </si>
  <si>
    <t>Sheet Name</t>
  </si>
  <si>
    <t>UNDP Country Profile URL</t>
  </si>
  <si>
    <t>DRC (Dem. Rep. Congo)</t>
  </si>
  <si>
    <t>DRC HDI Data 1990-2023</t>
  </si>
  <si>
    <t>https://hdr.undp.org/data-center/specific-country-data#/countries/COD</t>
  </si>
  <si>
    <t>Saudi Arabia</t>
  </si>
  <si>
    <t>Saudi Arabia HDI Data 1990-2023</t>
  </si>
  <si>
    <t>https://hdr.undp.org/data-center/specific-country-data#/countries/SAU</t>
  </si>
  <si>
    <t>Cuba</t>
  </si>
  <si>
    <t>Cuba HDI Data 1990-2023</t>
  </si>
  <si>
    <t>https://hdr.undp.org/data-center/specific-country-data#/countries/CUB</t>
  </si>
  <si>
    <t>Additional Resources</t>
  </si>
  <si>
    <t>Resource</t>
  </si>
  <si>
    <t>URL</t>
  </si>
  <si>
    <t>HDI Technical Notes</t>
  </si>
  <si>
    <t>https://hdr.undp.org/data-center/human-development-index</t>
  </si>
  <si>
    <t>Human Development Report 2023-24</t>
  </si>
  <si>
    <t>HDI Data API</t>
  </si>
  <si>
    <t>DRC</t>
  </si>
  <si>
    <t>Saudi Arabia - Human Development Index (HDI) Data, 1990-2023</t>
  </si>
  <si>
    <t>Cuba - Human Development Index (HDI) Data, 1990-2023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</si>
</sst>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i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0" fillId="2" fontId="3" numFmtId="0" xfId="0" applyFont="1"/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DRC HDI Data 1990-2023-style">
      <tableStyleElement dxfId="1" type="headerRow"/>
      <tableStyleElement dxfId="2" type="firstRowStripe"/>
      <tableStyleElement dxfId="3" type="secondRowStripe"/>
    </tableStyle>
    <tableStyle count="3" pivot="0" name="Saudi Arabia HDI Data 1990-2023-style">
      <tableStyleElement dxfId="4" type="headerRow"/>
      <tableStyleElement dxfId="2" type="firstRowStripe"/>
      <tableStyleElement dxfId="5" type="secondRowStripe"/>
    </tableStyle>
    <tableStyle count="3" pivot="0" name="Cuba HDI Data 1990-202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1C4587"/>
                </a:solidFill>
                <a:latin typeface="+mn-lt"/>
              </a:defRPr>
            </a:pPr>
            <a:r>
              <a:rPr b="1" sz="1600">
                <a:solidFill>
                  <a:srgbClr val="1C4587"/>
                </a:solidFill>
                <a:latin typeface="+mn-lt"/>
              </a:rPr>
              <a:t>DRC - Human Development Index (HDI) Evolution, 1990-2023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'DRC HDI Data 1990-2023'!$B$1:$B$3</c:f>
            </c:strRef>
          </c:tx>
          <c:spPr>
            <a:ln cmpd="sng" w="38100">
              <a:solidFill>
                <a:srgbClr val="1155C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'DRC HDI Data 1990-2023'!$A$4:$A$37</c:f>
            </c:strRef>
          </c:cat>
          <c:val>
            <c:numRef>
              <c:f>'DRC HDI Data 1990-2023'!$B$4:$B$37</c:f>
              <c:numCache/>
            </c:numRef>
          </c:val>
          <c:smooth val="1"/>
        </c:ser>
        <c:axId val="1560058483"/>
        <c:axId val="2093674145"/>
      </c:lineChart>
      <c:catAx>
        <c:axId val="1560058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674145"/>
      </c:catAx>
      <c:valAx>
        <c:axId val="2093674145"/>
        <c:scaling>
          <c:orientation val="minMax"/>
          <c:max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HDI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05848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HDI Evolution Comparison, 1990-2023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'Comparative Charts'!$B$1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'Comparative Charts'!$A$2:$A$35</c:f>
            </c:strRef>
          </c:cat>
          <c:val>
            <c:numRef>
              <c:f>'Comparative Charts'!$B$2:$B$35</c:f>
              <c:numCache/>
            </c:numRef>
          </c:val>
          <c:smooth val="1"/>
        </c:ser>
        <c:ser>
          <c:idx val="1"/>
          <c:order val="1"/>
          <c:tx>
            <c:strRef>
              <c:f>'Comparative Charts'!$C$1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'Comparative Charts'!$A$2:$A$35</c:f>
            </c:strRef>
          </c:cat>
          <c:val>
            <c:numRef>
              <c:f>'Comparative Charts'!$C$2:$C$35</c:f>
              <c:numCache/>
            </c:numRef>
          </c:val>
          <c:smooth val="1"/>
        </c:ser>
        <c:ser>
          <c:idx val="2"/>
          <c:order val="2"/>
          <c:tx>
            <c:strRef>
              <c:f>'Comparative Charts'!$D$1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'Comparative Charts'!$A$2:$A$35</c:f>
            </c:strRef>
          </c:cat>
          <c:val>
            <c:numRef>
              <c:f>'Comparative Charts'!$D$2:$D$35</c:f>
              <c:numCache/>
            </c:numRef>
          </c:val>
          <c:smooth val="1"/>
        </c:ser>
        <c:axId val="232417542"/>
        <c:axId val="582209769"/>
      </c:lineChart>
      <c:catAx>
        <c:axId val="232417542"/>
        <c:scaling>
          <c:orientation val="minMax"/>
          <c:max val="202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209769"/>
      </c:catAx>
      <c:valAx>
        <c:axId val="582209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HDI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417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Life Expectancy at Birth Comparison, 1990-2023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'Comparative Charts'!$G$1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'Comparative Charts'!$F$2:$F$35</c:f>
            </c:strRef>
          </c:cat>
          <c:val>
            <c:numRef>
              <c:f>'Comparative Charts'!$G$2:$G$35</c:f>
              <c:numCache/>
            </c:numRef>
          </c:val>
          <c:smooth val="1"/>
        </c:ser>
        <c:ser>
          <c:idx val="1"/>
          <c:order val="1"/>
          <c:tx>
            <c:strRef>
              <c:f>'Comparative Charts'!$H$1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'Comparative Charts'!$F$2:$F$35</c:f>
            </c:strRef>
          </c:cat>
          <c:val>
            <c:numRef>
              <c:f>'Comparative Charts'!$H$2:$H$35</c:f>
              <c:numCache/>
            </c:numRef>
          </c:val>
          <c:smooth val="1"/>
        </c:ser>
        <c:ser>
          <c:idx val="2"/>
          <c:order val="2"/>
          <c:tx>
            <c:strRef>
              <c:f>'Comparative Charts'!$I$1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'Comparative Charts'!$F$2:$F$35</c:f>
            </c:strRef>
          </c:cat>
          <c:val>
            <c:numRef>
              <c:f>'Comparative Charts'!$I$2:$I$35</c:f>
              <c:numCache/>
            </c:numRef>
          </c:val>
          <c:smooth val="1"/>
        </c:ser>
        <c:axId val="125749948"/>
        <c:axId val="1143477997"/>
      </c:lineChart>
      <c:catAx>
        <c:axId val="125749948"/>
        <c:scaling>
          <c:orientation val="minMax"/>
          <c:max val="202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477997"/>
      </c:catAx>
      <c:valAx>
        <c:axId val="1143477997"/>
        <c:scaling>
          <c:orientation val="minMax"/>
          <c:max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Life Expectancy (Years)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49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Expected Years of Schooling Comparison, 1990-2023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'Comparative Charts'!$L$1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'Comparative Charts'!$K$2:$K$35</c:f>
            </c:strRef>
          </c:cat>
          <c:val>
            <c:numRef>
              <c:f>'Comparative Charts'!$L$2:$L$35</c:f>
              <c:numCache/>
            </c:numRef>
          </c:val>
          <c:smooth val="1"/>
        </c:ser>
        <c:ser>
          <c:idx val="1"/>
          <c:order val="1"/>
          <c:tx>
            <c:strRef>
              <c:f>'Comparative Charts'!$M$1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'Comparative Charts'!$K$2:$K$35</c:f>
            </c:strRef>
          </c:cat>
          <c:val>
            <c:numRef>
              <c:f>'Comparative Charts'!$M$2:$M$35</c:f>
              <c:numCache/>
            </c:numRef>
          </c:val>
          <c:smooth val="1"/>
        </c:ser>
        <c:ser>
          <c:idx val="2"/>
          <c:order val="2"/>
          <c:tx>
            <c:strRef>
              <c:f>'Comparative Charts'!$N$1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'Comparative Charts'!$K$2:$K$35</c:f>
            </c:strRef>
          </c:cat>
          <c:val>
            <c:numRef>
              <c:f>'Comparative Charts'!$N$2:$N$35</c:f>
              <c:numCache/>
            </c:numRef>
          </c:val>
          <c:smooth val="1"/>
        </c:ser>
        <c:axId val="1326980888"/>
        <c:axId val="89307710"/>
      </c:lineChart>
      <c:catAx>
        <c:axId val="1326980888"/>
        <c:scaling>
          <c:orientation val="minMax"/>
          <c:max val="202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07710"/>
      </c:catAx>
      <c:valAx>
        <c:axId val="89307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 Years of Schooling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980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Mean Years of Schooling Comparison, 1990-2023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'Comparative Charts'!$Q$1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'Comparative Charts'!$P$2:$P$35</c:f>
            </c:strRef>
          </c:cat>
          <c:val>
            <c:numRef>
              <c:f>'Comparative Charts'!$Q$2:$Q$35</c:f>
              <c:numCache/>
            </c:numRef>
          </c:val>
          <c:smooth val="1"/>
        </c:ser>
        <c:ser>
          <c:idx val="1"/>
          <c:order val="1"/>
          <c:tx>
            <c:strRef>
              <c:f>'Comparative Charts'!$R$1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'Comparative Charts'!$P$2:$P$35</c:f>
            </c:strRef>
          </c:cat>
          <c:val>
            <c:numRef>
              <c:f>'Comparative Charts'!$R$2:$R$35</c:f>
              <c:numCache/>
            </c:numRef>
          </c:val>
          <c:smooth val="1"/>
        </c:ser>
        <c:ser>
          <c:idx val="2"/>
          <c:order val="2"/>
          <c:tx>
            <c:strRef>
              <c:f>'Comparative Charts'!$S$1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'Comparative Charts'!$P$2:$P$35</c:f>
            </c:strRef>
          </c:cat>
          <c:val>
            <c:numRef>
              <c:f>'Comparative Charts'!$S$2:$S$35</c:f>
              <c:numCache/>
            </c:numRef>
          </c:val>
          <c:smooth val="1"/>
        </c:ser>
        <c:axId val="641679923"/>
        <c:axId val="1318142833"/>
      </c:lineChart>
      <c:catAx>
        <c:axId val="641679923"/>
        <c:scaling>
          <c:orientation val="minMax"/>
          <c:max val="202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142833"/>
      </c:catAx>
      <c:valAx>
        <c:axId val="1318142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Years of Schooling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679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GNI per Capita (2021 PPP$) Comparison, 1990-2023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'Comparative Charts'!$V$1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'Comparative Charts'!$U$2:$U$35</c:f>
            </c:strRef>
          </c:cat>
          <c:val>
            <c:numRef>
              <c:f>'Comparative Charts'!$V$2:$V$35</c:f>
              <c:numCache/>
            </c:numRef>
          </c:val>
          <c:smooth val="1"/>
        </c:ser>
        <c:ser>
          <c:idx val="1"/>
          <c:order val="1"/>
          <c:tx>
            <c:strRef>
              <c:f>'Comparative Charts'!$W$1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'Comparative Charts'!$U$2:$U$35</c:f>
            </c:strRef>
          </c:cat>
          <c:val>
            <c:numRef>
              <c:f>'Comparative Charts'!$W$2:$W$35</c:f>
              <c:numCache/>
            </c:numRef>
          </c:val>
          <c:smooth val="1"/>
        </c:ser>
        <c:ser>
          <c:idx val="2"/>
          <c:order val="2"/>
          <c:tx>
            <c:strRef>
              <c:f>'Comparative Charts'!$X$1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'Comparative Charts'!$U$2:$U$35</c:f>
            </c:strRef>
          </c:cat>
          <c:val>
            <c:numRef>
              <c:f>'Comparative Charts'!$X$2:$X$35</c:f>
              <c:numCache/>
            </c:numRef>
          </c:val>
          <c:smooth val="1"/>
        </c:ser>
        <c:axId val="1560587597"/>
        <c:axId val="1856490357"/>
      </c:lineChart>
      <c:catAx>
        <c:axId val="1560587597"/>
        <c:scaling>
          <c:orientation val="minMax"/>
          <c:max val="202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490357"/>
      </c:catAx>
      <c:valAx>
        <c:axId val="1856490357"/>
        <c:scaling>
          <c:orientation val="minMax"/>
          <c:max val="6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GNI per Capita (2021 PPP$)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587597"/>
        <c:majorUnit val="100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HDI Change Comparison, 1991-2023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'Comparative Charts'!$Z$1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'Comparative Charts'!$Y$2:$Y$34</c:f>
            </c:strRef>
          </c:cat>
          <c:val>
            <c:numRef>
              <c:f>'Comparative Charts'!$Z$2:$Z$34</c:f>
              <c:numCache/>
            </c:numRef>
          </c:val>
          <c:smooth val="0"/>
        </c:ser>
        <c:ser>
          <c:idx val="1"/>
          <c:order val="1"/>
          <c:tx>
            <c:strRef>
              <c:f>'Comparative Charts'!$AA$1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'Comparative Charts'!$Y$2:$Y$34</c:f>
            </c:strRef>
          </c:cat>
          <c:val>
            <c:numRef>
              <c:f>'Comparative Charts'!$AA$2:$AA$34</c:f>
              <c:numCache/>
            </c:numRef>
          </c:val>
          <c:smooth val="0"/>
        </c:ser>
        <c:ser>
          <c:idx val="2"/>
          <c:order val="2"/>
          <c:tx>
            <c:strRef>
              <c:f>'Comparative Charts'!$AB$1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'Comparative Charts'!$Y$2:$Y$34</c:f>
            </c:strRef>
          </c:cat>
          <c:val>
            <c:numRef>
              <c:f>'Comparative Charts'!$AB$2:$AB$34</c:f>
              <c:numCache/>
            </c:numRef>
          </c:val>
          <c:smooth val="0"/>
        </c:ser>
        <c:axId val="1695780291"/>
        <c:axId val="1600835722"/>
      </c:lineChart>
      <c:catAx>
        <c:axId val="1695780291"/>
        <c:scaling>
          <c:orientation val="minMax"/>
          <c:max val="202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835722"/>
      </c:catAx>
      <c:valAx>
        <c:axId val="1600835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/ HDI Change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780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1155CC"/>
                </a:solidFill>
                <a:latin typeface="+mn-lt"/>
              </a:defRPr>
            </a:pPr>
            <a:r>
              <a:rPr b="1" sz="1600">
                <a:solidFill>
                  <a:srgbClr val="1155CC"/>
                </a:solidFill>
                <a:latin typeface="+mn-lt"/>
              </a:rPr>
              <a:t>Saudi Arabia - Human Development Index (HDI) Evolution, 1990-2023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'Saudi Arabia HDI Data 1990-2023'!$B$3:$B$5</c:f>
            </c:strRef>
          </c:tx>
          <c:spPr>
            <a:ln cmpd="sng" w="38100">
              <a:solidFill>
                <a:srgbClr val="134F5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34F5C">
                  <a:alpha val="100000"/>
                </a:srgbClr>
              </a:solidFill>
              <a:ln cmpd="sng">
                <a:solidFill>
                  <a:srgbClr val="134F5C">
                    <a:alpha val="100000"/>
                  </a:srgbClr>
                </a:solidFill>
              </a:ln>
            </c:spPr>
          </c:marker>
          <c:cat>
            <c:strRef>
              <c:f>'Saudi Arabia HDI Data 1990-2023'!$A$6:$A$37</c:f>
            </c:strRef>
          </c:cat>
          <c:val>
            <c:numRef>
              <c:f>'Saudi Arabia HDI Data 1990-2023'!$B$6:$B$37</c:f>
              <c:numCache/>
            </c:numRef>
          </c:val>
          <c:smooth val="1"/>
        </c:ser>
        <c:axId val="352759353"/>
        <c:axId val="909061532"/>
      </c:lineChart>
      <c:catAx>
        <c:axId val="352759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061532"/>
      </c:catAx>
      <c:valAx>
        <c:axId val="909061532"/>
        <c:scaling>
          <c:orientation val="minMax"/>
          <c:max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HDI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759353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134F5C"/>
                </a:solidFill>
                <a:latin typeface="+mn-lt"/>
              </a:defRPr>
            </a:pPr>
            <a:r>
              <a:rPr b="1" sz="1600">
                <a:solidFill>
                  <a:srgbClr val="134F5C"/>
                </a:solidFill>
                <a:latin typeface="+mn-lt"/>
              </a:rPr>
              <a:t>Cuba - Human Development Index (HDI) Evolution, 1990-2023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'Cuba HDI Data 1990-2023'!$B$3:$B$5</c:f>
            </c:strRef>
          </c:tx>
          <c:spPr>
            <a:ln cmpd="sng" w="38100">
              <a:solidFill>
                <a:srgbClr val="134F5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34F5C">
                  <a:alpha val="100000"/>
                </a:srgbClr>
              </a:solidFill>
              <a:ln cmpd="sng">
                <a:solidFill>
                  <a:srgbClr val="134F5C">
                    <a:alpha val="100000"/>
                  </a:srgbClr>
                </a:solidFill>
              </a:ln>
            </c:spPr>
          </c:marker>
          <c:cat>
            <c:strRef>
              <c:f>'Cuba HDI Data 1990-2023'!$A$6:$A$37</c:f>
            </c:strRef>
          </c:cat>
          <c:val>
            <c:numRef>
              <c:f>'Cuba HDI Data 1990-2023'!$B$6:$B$37</c:f>
              <c:numCache/>
            </c:numRef>
          </c:val>
          <c:smooth val="1"/>
        </c:ser>
        <c:axId val="1742156931"/>
        <c:axId val="1474316858"/>
      </c:lineChart>
      <c:catAx>
        <c:axId val="1742156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316858"/>
      </c:catAx>
      <c:valAx>
        <c:axId val="1474316858"/>
        <c:scaling>
          <c:orientation val="minMax"/>
          <c:max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HDI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15693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16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114300</xdr:colOff>
      <xdr:row>14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857250</xdr:colOff>
      <xdr:row>8</xdr:row>
      <xdr:rowOff>133350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285750</xdr:colOff>
      <xdr:row>6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847725</xdr:colOff>
      <xdr:row>0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2</xdr:row>
      <xdr:rowOff>104775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3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37" displayName="Table_1" name="Table_1" id="1">
  <tableColumns count="6">
    <tableColumn name="Year" id="1"/>
    <tableColumn name="HDI Value" id="2"/>
    <tableColumn name="Life Expectancy at Birth (years)" id="3"/>
    <tableColumn name="Expected Years of Schooling (years)" id="4"/>
    <tableColumn name="Mean Years of Schooling (years)" id="5"/>
    <tableColumn name="GNI per Capita (2021 PPP$)" id="6"/>
  </tableColumns>
  <tableStyleInfo name="DRC HDI Data 1990-2023-style" showColumnStripes="0" showFirstColumn="1" showLastColumn="1" showRowStripes="1"/>
</table>
</file>

<file path=xl/tables/table2.xml><?xml version="1.0" encoding="utf-8"?>
<table xmlns="http://schemas.openxmlformats.org/spreadsheetml/2006/main" ref="A3:F37" displayName="Table_2" name="Table_2" id="2">
  <tableColumns count="6">
    <tableColumn name="Year" id="1"/>
    <tableColumn name="HDI Value" id="2"/>
    <tableColumn name="Life Expectancy at Birth (years)" id="3"/>
    <tableColumn name="Expected Years of Schooling (years)" id="4"/>
    <tableColumn name="Mean Years of Schooling (years)" id="5"/>
    <tableColumn name="GNI per Capita (2021 PPP$)" id="6"/>
  </tableColumns>
  <tableStyleInfo name="Saudi Arabia HDI Data 1990-2023-style" showColumnStripes="0" showFirstColumn="1" showLastColumn="1" showRowStripes="1"/>
</table>
</file>

<file path=xl/tables/table3.xml><?xml version="1.0" encoding="utf-8"?>
<table xmlns="http://schemas.openxmlformats.org/spreadsheetml/2006/main" ref="A3:F37" displayName="Table_3" name="Table_3" id="3">
  <tableColumns count="6">
    <tableColumn name="Year" id="1"/>
    <tableColumn name="HDI Value" id="2"/>
    <tableColumn name="Life Expectancy at Birth (years)" id="3"/>
    <tableColumn name="Expected Years of Schooling (years)" id="4"/>
    <tableColumn name="Mean Years of Schooling (years)" id="5"/>
    <tableColumn name="GNI per Capita (2021 PPP$)" id="6"/>
  </tableColumns>
  <tableStyleInfo name="Cuba HDI Data 1990-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dr.undp.org/" TargetMode="External"/><Relationship Id="rId2" Type="http://schemas.openxmlformats.org/officeDocument/2006/relationships/hyperlink" Target="https://hdr.undp.org/data-center" TargetMode="External"/><Relationship Id="rId3" Type="http://schemas.openxmlformats.org/officeDocument/2006/relationships/hyperlink" Target="https://hdr.undp.org/data-center/country-insights" TargetMode="External"/><Relationship Id="rId4" Type="http://schemas.openxmlformats.org/officeDocument/2006/relationships/hyperlink" Target="https://hdr.undp.org/data-center/documentation-and-downloads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hdr.undp.org/data-center/documentation-and-downloads" TargetMode="External"/><Relationship Id="rId9" Type="http://schemas.openxmlformats.org/officeDocument/2006/relationships/hyperlink" Target="https://hdr.undp.org/" TargetMode="External"/><Relationship Id="rId5" Type="http://schemas.openxmlformats.org/officeDocument/2006/relationships/hyperlink" Target="https://hdr.undp.org/data-center/specific-country-data" TargetMode="External"/><Relationship Id="rId6" Type="http://schemas.openxmlformats.org/officeDocument/2006/relationships/hyperlink" Target="https://hdr.undp.org/data-center/specific-country-data" TargetMode="External"/><Relationship Id="rId7" Type="http://schemas.openxmlformats.org/officeDocument/2006/relationships/hyperlink" Target="https://hdr.undp.org/data-center/specific-country-data" TargetMode="External"/><Relationship Id="rId8" Type="http://schemas.openxmlformats.org/officeDocument/2006/relationships/hyperlink" Target="https://hdr.undp.org/data-center/human-development-index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29.75"/>
    <col customWidth="1" min="5" max="5" width="26.63"/>
    <col customWidth="1" min="6" max="6" width="22.6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1990.0</v>
      </c>
      <c r="B4" s="5">
        <v>0.388</v>
      </c>
      <c r="C4" s="5">
        <v>48.538</v>
      </c>
      <c r="D4" s="5">
        <v>6.192</v>
      </c>
      <c r="E4" s="5">
        <v>3.516</v>
      </c>
      <c r="F4" s="5">
        <v>2104.535</v>
      </c>
    </row>
    <row r="5">
      <c r="A5" s="5">
        <v>1991.0</v>
      </c>
      <c r="B5" s="5">
        <v>0.389</v>
      </c>
      <c r="C5" s="5">
        <v>48.944</v>
      </c>
      <c r="D5" s="5">
        <v>6.263</v>
      </c>
      <c r="E5" s="5">
        <v>3.725</v>
      </c>
      <c r="F5" s="5">
        <v>1865.358</v>
      </c>
    </row>
    <row r="6">
      <c r="A6" s="5">
        <v>1992.0</v>
      </c>
      <c r="B6" s="5">
        <v>0.387</v>
      </c>
      <c r="C6" s="5">
        <v>49.323</v>
      </c>
      <c r="D6" s="5">
        <v>6.334</v>
      </c>
      <c r="E6" s="5">
        <v>3.935</v>
      </c>
      <c r="F6" s="5">
        <v>1608.663</v>
      </c>
    </row>
    <row r="7">
      <c r="A7" s="5">
        <v>1993.0</v>
      </c>
      <c r="B7" s="5">
        <v>0.385</v>
      </c>
      <c r="C7" s="5">
        <v>49.621</v>
      </c>
      <c r="D7" s="5">
        <v>6.407</v>
      </c>
      <c r="E7" s="5">
        <v>4.144</v>
      </c>
      <c r="F7" s="5">
        <v>1381.562</v>
      </c>
    </row>
    <row r="8">
      <c r="A8" s="5">
        <v>1994.0</v>
      </c>
      <c r="B8" s="5">
        <v>0.382</v>
      </c>
      <c r="C8" s="5">
        <v>49.88</v>
      </c>
      <c r="D8" s="5">
        <v>6.48</v>
      </c>
      <c r="E8" s="5">
        <v>4.354</v>
      </c>
      <c r="F8" s="5">
        <v>1187.045</v>
      </c>
    </row>
    <row r="9">
      <c r="A9" s="5">
        <v>1995.0</v>
      </c>
      <c r="B9" s="5">
        <v>0.385</v>
      </c>
      <c r="C9" s="5">
        <v>50.381</v>
      </c>
      <c r="D9" s="5">
        <v>6.554</v>
      </c>
      <c r="E9" s="5">
        <v>4.563</v>
      </c>
      <c r="F9" s="5">
        <v>1122.086</v>
      </c>
    </row>
    <row r="10">
      <c r="A10" s="5">
        <v>1996.0</v>
      </c>
      <c r="B10" s="5">
        <v>0.386</v>
      </c>
      <c r="C10" s="5">
        <v>49.376</v>
      </c>
      <c r="D10" s="5">
        <v>6.631</v>
      </c>
      <c r="E10" s="5">
        <v>4.679</v>
      </c>
      <c r="F10" s="5">
        <v>1179.588</v>
      </c>
    </row>
    <row r="11">
      <c r="A11" s="5">
        <v>1997.0</v>
      </c>
      <c r="B11" s="5">
        <v>0.388</v>
      </c>
      <c r="C11" s="5">
        <v>50.461</v>
      </c>
      <c r="D11" s="5">
        <v>6.708</v>
      </c>
      <c r="E11" s="5">
        <v>4.794</v>
      </c>
      <c r="F11" s="5">
        <v>1090.085</v>
      </c>
    </row>
    <row r="12">
      <c r="A12" s="5">
        <v>1998.0</v>
      </c>
      <c r="B12" s="5">
        <v>0.385</v>
      </c>
      <c r="C12" s="5">
        <v>49.664</v>
      </c>
      <c r="D12" s="5">
        <v>6.784</v>
      </c>
      <c r="E12" s="5">
        <v>4.91</v>
      </c>
      <c r="F12" s="5">
        <v>1053.263</v>
      </c>
    </row>
    <row r="13">
      <c r="A13" s="5">
        <v>1999.0</v>
      </c>
      <c r="B13" s="5">
        <v>0.383</v>
      </c>
      <c r="C13" s="5">
        <v>50.089</v>
      </c>
      <c r="D13" s="5">
        <v>6.861</v>
      </c>
      <c r="E13" s="5">
        <v>5.026</v>
      </c>
      <c r="F13" s="5">
        <v>945.769</v>
      </c>
    </row>
    <row r="14">
      <c r="A14" s="5">
        <v>2000.0</v>
      </c>
      <c r="B14" s="5">
        <v>0.391</v>
      </c>
      <c r="C14" s="5">
        <v>51.887</v>
      </c>
      <c r="D14" s="5">
        <v>6.938</v>
      </c>
      <c r="E14" s="5">
        <v>5.141</v>
      </c>
      <c r="F14" s="5">
        <v>919.551</v>
      </c>
    </row>
    <row r="15">
      <c r="A15" s="5">
        <v>2001.0</v>
      </c>
      <c r="B15" s="5">
        <v>0.389</v>
      </c>
      <c r="C15" s="5">
        <v>52.205</v>
      </c>
      <c r="D15" s="5">
        <v>7.015</v>
      </c>
      <c r="E15" s="5">
        <v>5.201</v>
      </c>
      <c r="F15" s="5">
        <v>846.636</v>
      </c>
    </row>
    <row r="16">
      <c r="A16" s="5">
        <v>2002.0</v>
      </c>
      <c r="B16" s="5">
        <v>0.392</v>
      </c>
      <c r="C16" s="5">
        <v>52.371</v>
      </c>
      <c r="D16" s="5">
        <v>7.091</v>
      </c>
      <c r="E16" s="5">
        <v>5.26</v>
      </c>
      <c r="F16" s="5">
        <v>860.329</v>
      </c>
    </row>
    <row r="17">
      <c r="A17" s="5">
        <v>2003.0</v>
      </c>
      <c r="B17" s="5">
        <v>0.398</v>
      </c>
      <c r="C17" s="5">
        <v>52.952</v>
      </c>
      <c r="D17" s="5">
        <v>7.168</v>
      </c>
      <c r="E17" s="5">
        <v>5.319</v>
      </c>
      <c r="F17" s="5">
        <v>888.628</v>
      </c>
    </row>
    <row r="18">
      <c r="A18" s="5">
        <v>2004.0</v>
      </c>
      <c r="B18" s="5">
        <v>0.403</v>
      </c>
      <c r="C18" s="5">
        <v>53.534</v>
      </c>
      <c r="D18" s="5">
        <v>7.245</v>
      </c>
      <c r="E18" s="5">
        <v>5.379</v>
      </c>
      <c r="F18" s="5">
        <v>916.183</v>
      </c>
    </row>
    <row r="19">
      <c r="A19" s="5">
        <v>2005.0</v>
      </c>
      <c r="B19" s="5">
        <v>0.408</v>
      </c>
      <c r="C19" s="5">
        <v>54.001</v>
      </c>
      <c r="D19" s="5">
        <v>7.321</v>
      </c>
      <c r="E19" s="5">
        <v>5.438</v>
      </c>
      <c r="F19" s="5">
        <v>930.376</v>
      </c>
    </row>
    <row r="20">
      <c r="A20" s="5">
        <v>2006.0</v>
      </c>
      <c r="B20" s="5">
        <v>0.413</v>
      </c>
      <c r="C20" s="5">
        <v>54.498</v>
      </c>
      <c r="D20" s="5">
        <v>7.398</v>
      </c>
      <c r="E20" s="5">
        <v>5.479</v>
      </c>
      <c r="F20" s="5">
        <v>958.876</v>
      </c>
    </row>
    <row r="21">
      <c r="A21" s="5">
        <v>2007.0</v>
      </c>
      <c r="B21" s="5">
        <v>0.417</v>
      </c>
      <c r="C21" s="5">
        <v>54.954</v>
      </c>
      <c r="D21" s="5">
        <v>7.475</v>
      </c>
      <c r="E21" s="5">
        <v>5.519</v>
      </c>
      <c r="F21" s="5">
        <v>979.518</v>
      </c>
    </row>
    <row r="22">
      <c r="A22" s="5">
        <v>2008.0</v>
      </c>
      <c r="B22" s="5">
        <v>0.426</v>
      </c>
      <c r="C22" s="5">
        <v>55.388</v>
      </c>
      <c r="D22" s="5">
        <v>8.198</v>
      </c>
      <c r="E22" s="5">
        <v>5.56</v>
      </c>
      <c r="F22" s="5">
        <v>980.446</v>
      </c>
    </row>
    <row r="23">
      <c r="A23" s="5">
        <v>2009.0</v>
      </c>
      <c r="B23" s="5">
        <v>0.431</v>
      </c>
      <c r="C23" s="5">
        <v>55.798</v>
      </c>
      <c r="D23" s="5">
        <v>8.353</v>
      </c>
      <c r="E23" s="5">
        <v>5.601</v>
      </c>
      <c r="F23" s="5">
        <v>1001.194</v>
      </c>
    </row>
    <row r="24">
      <c r="A24" s="5">
        <v>2010.0</v>
      </c>
      <c r="B24" s="5">
        <v>0.44</v>
      </c>
      <c r="C24" s="5">
        <v>56.411</v>
      </c>
      <c r="D24" s="5">
        <v>8.691</v>
      </c>
      <c r="E24" s="5">
        <v>5.641</v>
      </c>
      <c r="F24" s="5">
        <v>1035.517</v>
      </c>
    </row>
    <row r="25">
      <c r="A25" s="5">
        <v>2011.0</v>
      </c>
      <c r="B25" s="5">
        <v>0.447</v>
      </c>
      <c r="C25" s="5">
        <v>56.911</v>
      </c>
      <c r="D25" s="5">
        <v>9.029</v>
      </c>
      <c r="E25" s="5">
        <v>5.747</v>
      </c>
      <c r="F25" s="5">
        <v>1057.41</v>
      </c>
    </row>
    <row r="26">
      <c r="A26" s="5">
        <v>2012.0</v>
      </c>
      <c r="B26" s="5">
        <v>0.451</v>
      </c>
      <c r="C26" s="5">
        <v>57.35</v>
      </c>
      <c r="D26" s="5">
        <v>8.893</v>
      </c>
      <c r="E26" s="5">
        <v>5.854</v>
      </c>
      <c r="F26" s="5">
        <v>1085.659</v>
      </c>
    </row>
    <row r="27">
      <c r="A27" s="5">
        <v>2013.0</v>
      </c>
      <c r="B27" s="5">
        <v>0.456</v>
      </c>
      <c r="C27" s="5">
        <v>57.795</v>
      </c>
      <c r="D27" s="5">
        <v>9.145</v>
      </c>
      <c r="E27" s="5">
        <v>5.96</v>
      </c>
      <c r="F27" s="5">
        <v>1090.946</v>
      </c>
    </row>
    <row r="28">
      <c r="A28" s="5">
        <v>2014.0</v>
      </c>
      <c r="B28" s="5">
        <v>0.467</v>
      </c>
      <c r="C28" s="5">
        <v>58.236</v>
      </c>
      <c r="D28" s="5">
        <v>9.349</v>
      </c>
      <c r="E28" s="5">
        <v>6.227</v>
      </c>
      <c r="F28" s="5">
        <v>1159.793</v>
      </c>
    </row>
    <row r="29">
      <c r="A29" s="5">
        <v>2015.0</v>
      </c>
      <c r="B29" s="5">
        <v>0.477</v>
      </c>
      <c r="C29" s="5">
        <v>58.658</v>
      </c>
      <c r="D29" s="5">
        <v>9.558</v>
      </c>
      <c r="E29" s="5">
        <v>6.493</v>
      </c>
      <c r="F29" s="5">
        <v>1219.766</v>
      </c>
    </row>
    <row r="30">
      <c r="A30" s="5">
        <v>2016.0</v>
      </c>
      <c r="B30" s="5">
        <v>0.487</v>
      </c>
      <c r="C30" s="5">
        <v>59.081</v>
      </c>
      <c r="D30" s="5">
        <v>9.771</v>
      </c>
      <c r="E30" s="5">
        <v>6.76</v>
      </c>
      <c r="F30" s="5">
        <v>1285.253</v>
      </c>
    </row>
    <row r="31">
      <c r="A31" s="5">
        <v>2017.0</v>
      </c>
      <c r="B31" s="5">
        <v>0.491</v>
      </c>
      <c r="C31" s="5">
        <v>59.495</v>
      </c>
      <c r="D31" s="5">
        <v>9.989</v>
      </c>
      <c r="E31" s="5">
        <v>6.904</v>
      </c>
      <c r="F31" s="5">
        <v>1271.978</v>
      </c>
    </row>
    <row r="32">
      <c r="A32" s="5">
        <v>2018.0</v>
      </c>
      <c r="B32" s="5">
        <v>0.497</v>
      </c>
      <c r="C32" s="5">
        <v>59.926</v>
      </c>
      <c r="D32" s="5">
        <v>10.212</v>
      </c>
      <c r="E32" s="5">
        <v>7.048</v>
      </c>
      <c r="F32" s="5">
        <v>1287.625</v>
      </c>
    </row>
    <row r="33">
      <c r="A33" s="5">
        <v>2019.0</v>
      </c>
      <c r="B33" s="5">
        <v>0.501</v>
      </c>
      <c r="C33" s="5">
        <v>60.242</v>
      </c>
      <c r="D33" s="5">
        <v>10.44</v>
      </c>
      <c r="E33" s="5">
        <v>7.127</v>
      </c>
      <c r="F33" s="5">
        <v>1276.436</v>
      </c>
    </row>
    <row r="34">
      <c r="A34" s="5">
        <v>2020.0</v>
      </c>
      <c r="B34" s="5">
        <v>0.506</v>
      </c>
      <c r="C34" s="5">
        <v>60.428</v>
      </c>
      <c r="D34" s="5">
        <v>10.673</v>
      </c>
      <c r="E34" s="5">
        <v>7.206</v>
      </c>
      <c r="F34" s="5">
        <v>1300.496</v>
      </c>
    </row>
    <row r="35">
      <c r="A35" s="5">
        <v>2021.0</v>
      </c>
      <c r="B35" s="5">
        <v>0.508</v>
      </c>
      <c r="C35" s="5">
        <v>60.044</v>
      </c>
      <c r="D35" s="5">
        <v>10.911</v>
      </c>
      <c r="E35" s="5">
        <v>7.379</v>
      </c>
      <c r="F35" s="5">
        <v>1309.354</v>
      </c>
    </row>
    <row r="36">
      <c r="A36" s="5">
        <v>2022.0</v>
      </c>
      <c r="B36" s="5">
        <v>0.514</v>
      </c>
      <c r="C36" s="5">
        <v>60.979</v>
      </c>
      <c r="D36" s="5">
        <v>10.911</v>
      </c>
      <c r="E36" s="5">
        <v>7.379</v>
      </c>
      <c r="F36" s="5">
        <v>1340.836</v>
      </c>
    </row>
    <row r="37">
      <c r="A37" s="5">
        <v>2023.0</v>
      </c>
      <c r="B37" s="5">
        <v>0.522</v>
      </c>
      <c r="C37" s="5">
        <v>61.895</v>
      </c>
      <c r="D37" s="5">
        <v>10.911</v>
      </c>
      <c r="E37" s="5">
        <v>7.379</v>
      </c>
      <c r="F37" s="5">
        <v>1431.048</v>
      </c>
    </row>
  </sheetData>
  <mergeCells count="2">
    <mergeCell ref="A1:F1"/>
    <mergeCell ref="A2:F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47.5"/>
  </cols>
  <sheetData>
    <row r="1">
      <c r="A1" s="1" t="s">
        <v>8</v>
      </c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17</v>
      </c>
      <c r="B3" s="8" t="s">
        <v>18</v>
      </c>
      <c r="C3" s="8" t="s">
        <v>19</v>
      </c>
      <c r="D3" s="8" t="s">
        <v>20</v>
      </c>
      <c r="E3" s="9" t="s">
        <v>21</v>
      </c>
      <c r="F3" s="9" t="s">
        <v>22</v>
      </c>
      <c r="G3" s="9" t="s">
        <v>23</v>
      </c>
      <c r="H3" s="9" t="s">
        <v>24</v>
      </c>
    </row>
    <row r="5">
      <c r="A5" s="6" t="s">
        <v>25</v>
      </c>
    </row>
    <row r="6">
      <c r="A6" s="6" t="s">
        <v>26</v>
      </c>
      <c r="B6" s="6" t="s">
        <v>27</v>
      </c>
      <c r="C6" s="6" t="s">
        <v>28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29</v>
      </c>
      <c r="B7" s="8" t="s">
        <v>30</v>
      </c>
      <c r="C7" s="9" t="s">
        <v>31</v>
      </c>
    </row>
    <row r="8">
      <c r="A8" s="8" t="s">
        <v>32</v>
      </c>
      <c r="B8" s="8" t="s">
        <v>33</v>
      </c>
      <c r="C8" s="9" t="s">
        <v>34</v>
      </c>
    </row>
    <row r="9">
      <c r="A9" s="8" t="s">
        <v>35</v>
      </c>
      <c r="B9" s="8" t="s">
        <v>36</v>
      </c>
      <c r="C9" s="9" t="s">
        <v>37</v>
      </c>
    </row>
    <row r="11">
      <c r="A11" s="6" t="s">
        <v>38</v>
      </c>
    </row>
    <row r="12">
      <c r="A12" s="6" t="s">
        <v>39</v>
      </c>
      <c r="B12" s="6" t="s">
        <v>40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41</v>
      </c>
      <c r="B13" s="9" t="s">
        <v>42</v>
      </c>
    </row>
    <row r="14">
      <c r="A14" s="8" t="s">
        <v>43</v>
      </c>
      <c r="B14" s="9" t="s">
        <v>21</v>
      </c>
    </row>
    <row r="15">
      <c r="A15" s="8" t="s">
        <v>44</v>
      </c>
      <c r="B15" s="9" t="s">
        <v>24</v>
      </c>
    </row>
  </sheetData>
  <hyperlinks>
    <hyperlink r:id="rId1" ref="E3"/>
    <hyperlink r:id="rId2" ref="F3"/>
    <hyperlink r:id="rId3" ref="G3"/>
    <hyperlink r:id="rId4" ref="H3"/>
    <hyperlink r:id="rId5" location="/countries/COD" ref="C7"/>
    <hyperlink r:id="rId6" location="/countries/SAU" ref="C8"/>
    <hyperlink r:id="rId7" location="/countries/CUB" ref="C9"/>
    <hyperlink r:id="rId8" ref="B13"/>
    <hyperlink r:id="rId9" ref="B14"/>
    <hyperlink r:id="rId10" ref="B15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</v>
      </c>
      <c r="B1" s="8" t="s">
        <v>45</v>
      </c>
      <c r="C1" s="8" t="s">
        <v>32</v>
      </c>
      <c r="D1" s="8" t="s">
        <v>35</v>
      </c>
      <c r="F1" s="8" t="s">
        <v>2</v>
      </c>
      <c r="G1" s="8" t="s">
        <v>45</v>
      </c>
      <c r="H1" s="8" t="s">
        <v>32</v>
      </c>
      <c r="I1" s="8" t="s">
        <v>35</v>
      </c>
      <c r="K1" s="8" t="s">
        <v>2</v>
      </c>
      <c r="L1" s="8" t="s">
        <v>45</v>
      </c>
      <c r="M1" s="8" t="s">
        <v>32</v>
      </c>
      <c r="N1" s="8" t="s">
        <v>35</v>
      </c>
      <c r="P1" s="8" t="s">
        <v>2</v>
      </c>
      <c r="Q1" s="8" t="s">
        <v>45</v>
      </c>
      <c r="R1" s="8" t="s">
        <v>32</v>
      </c>
      <c r="S1" s="8" t="s">
        <v>35</v>
      </c>
      <c r="U1" s="8" t="s">
        <v>2</v>
      </c>
      <c r="V1" s="8" t="s">
        <v>45</v>
      </c>
      <c r="W1" s="8" t="s">
        <v>32</v>
      </c>
      <c r="X1" s="8" t="s">
        <v>35</v>
      </c>
      <c r="Y1" s="8" t="s">
        <v>2</v>
      </c>
      <c r="Z1" s="8" t="s">
        <v>45</v>
      </c>
      <c r="AA1" s="8" t="s">
        <v>32</v>
      </c>
      <c r="AB1" s="8" t="s">
        <v>35</v>
      </c>
    </row>
    <row r="2">
      <c r="A2" s="8">
        <v>1990.0</v>
      </c>
      <c r="B2" s="8">
        <v>0.388</v>
      </c>
      <c r="C2" s="8">
        <v>0.67</v>
      </c>
      <c r="D2" s="8">
        <v>0.687</v>
      </c>
      <c r="F2" s="8">
        <v>1990.0</v>
      </c>
      <c r="G2" s="8">
        <v>48.538</v>
      </c>
      <c r="H2" s="8">
        <v>68.874</v>
      </c>
      <c r="I2" s="8">
        <v>73.823</v>
      </c>
      <c r="K2" s="8">
        <v>1990.0</v>
      </c>
      <c r="L2" s="8">
        <v>6.192</v>
      </c>
      <c r="M2" s="8">
        <v>9.059</v>
      </c>
      <c r="N2" s="8">
        <v>12.602</v>
      </c>
      <c r="P2" s="8">
        <v>1990.0</v>
      </c>
      <c r="Q2" s="8">
        <v>3.516</v>
      </c>
      <c r="R2" s="8">
        <v>5.575</v>
      </c>
      <c r="S2" s="8">
        <v>8.793</v>
      </c>
      <c r="U2" s="8">
        <v>1990.0</v>
      </c>
      <c r="V2" s="8">
        <v>2104.535</v>
      </c>
      <c r="W2" s="8">
        <v>42824.562</v>
      </c>
      <c r="X2" s="8">
        <v>5591.656</v>
      </c>
      <c r="Y2" s="8">
        <f t="shared" ref="Y2:Y34" si="2">A3</f>
        <v>1991</v>
      </c>
      <c r="Z2" s="10">
        <f t="shared" ref="Z2:AB2" si="1">B3-B2</f>
        <v>0.001</v>
      </c>
      <c r="AA2" s="10">
        <f t="shared" si="1"/>
        <v>0.011</v>
      </c>
      <c r="AB2" s="10">
        <f t="shared" si="1"/>
        <v>-0.006</v>
      </c>
    </row>
    <row r="3">
      <c r="A3" s="8">
        <v>1991.0</v>
      </c>
      <c r="B3" s="8">
        <v>0.389</v>
      </c>
      <c r="C3" s="8">
        <v>0.681</v>
      </c>
      <c r="D3" s="8">
        <v>0.681</v>
      </c>
      <c r="F3" s="8">
        <v>1991.0</v>
      </c>
      <c r="G3" s="8">
        <v>48.944</v>
      </c>
      <c r="H3" s="8">
        <v>69.341</v>
      </c>
      <c r="I3" s="8">
        <v>73.757</v>
      </c>
      <c r="K3" s="8">
        <v>1991.0</v>
      </c>
      <c r="L3" s="8">
        <v>6.263</v>
      </c>
      <c r="M3" s="8">
        <v>9.285</v>
      </c>
      <c r="N3" s="8">
        <v>12.527</v>
      </c>
      <c r="P3" s="8">
        <v>1991.0</v>
      </c>
      <c r="Q3" s="8">
        <v>3.725</v>
      </c>
      <c r="R3" s="8">
        <v>5.676</v>
      </c>
      <c r="S3" s="8">
        <v>8.941</v>
      </c>
      <c r="U3" s="8">
        <v>1991.0</v>
      </c>
      <c r="V3" s="8">
        <v>1865.358</v>
      </c>
      <c r="W3" s="8">
        <v>47330.828</v>
      </c>
      <c r="X3" s="8">
        <v>4967.147</v>
      </c>
      <c r="Y3" s="8">
        <f t="shared" si="2"/>
        <v>1992</v>
      </c>
      <c r="Z3" s="10">
        <f t="shared" ref="Z3:AB3" si="3">B4-B3</f>
        <v>-0.002</v>
      </c>
      <c r="AA3" s="10">
        <f t="shared" si="3"/>
        <v>0.007</v>
      </c>
      <c r="AB3" s="10">
        <f t="shared" si="3"/>
        <v>-0.007</v>
      </c>
    </row>
    <row r="4">
      <c r="A4" s="8">
        <v>1992.0</v>
      </c>
      <c r="B4" s="8">
        <v>0.387</v>
      </c>
      <c r="C4" s="8">
        <v>0.688</v>
      </c>
      <c r="D4" s="8">
        <v>0.674</v>
      </c>
      <c r="F4" s="8">
        <v>1992.0</v>
      </c>
      <c r="G4" s="8">
        <v>49.323</v>
      </c>
      <c r="H4" s="8">
        <v>69.799</v>
      </c>
      <c r="I4" s="8">
        <v>73.846</v>
      </c>
      <c r="K4" s="8">
        <v>1992.0</v>
      </c>
      <c r="L4" s="8">
        <v>6.334</v>
      </c>
      <c r="M4" s="8">
        <v>9.515</v>
      </c>
      <c r="N4" s="8">
        <v>12.37</v>
      </c>
      <c r="P4" s="8">
        <v>1992.0</v>
      </c>
      <c r="Q4" s="8">
        <v>3.935</v>
      </c>
      <c r="R4" s="8">
        <v>5.776</v>
      </c>
      <c r="S4" s="8">
        <v>9.088</v>
      </c>
      <c r="U4" s="8">
        <v>1992.0</v>
      </c>
      <c r="V4" s="8">
        <v>1608.663</v>
      </c>
      <c r="W4" s="8">
        <v>47432.198</v>
      </c>
      <c r="X4" s="8">
        <v>4381.768</v>
      </c>
      <c r="Y4" s="8">
        <f t="shared" si="2"/>
        <v>1993</v>
      </c>
      <c r="Z4" s="10">
        <f t="shared" ref="Z4:AB4" si="4">B5-B4</f>
        <v>-0.002</v>
      </c>
      <c r="AA4" s="10">
        <f t="shared" si="4"/>
        <v>0.005</v>
      </c>
      <c r="AB4" s="10">
        <f t="shared" si="4"/>
        <v>-0.009</v>
      </c>
    </row>
    <row r="5">
      <c r="A5" s="8">
        <v>1993.0</v>
      </c>
      <c r="B5" s="8">
        <v>0.385</v>
      </c>
      <c r="C5" s="8">
        <v>0.693</v>
      </c>
      <c r="D5" s="8">
        <v>0.665</v>
      </c>
      <c r="F5" s="8">
        <v>1993.0</v>
      </c>
      <c r="G5" s="8">
        <v>49.621</v>
      </c>
      <c r="H5" s="8">
        <v>70.208</v>
      </c>
      <c r="I5" s="8">
        <v>73.874</v>
      </c>
      <c r="K5" s="8">
        <v>1993.0</v>
      </c>
      <c r="L5" s="8">
        <v>6.407</v>
      </c>
      <c r="M5" s="8">
        <v>9.752</v>
      </c>
      <c r="N5" s="8">
        <v>12.275</v>
      </c>
      <c r="P5" s="8">
        <v>1993.0</v>
      </c>
      <c r="Q5" s="8">
        <v>4.144</v>
      </c>
      <c r="R5" s="8">
        <v>5.876</v>
      </c>
      <c r="S5" s="8">
        <v>9.236</v>
      </c>
      <c r="U5" s="8">
        <v>1993.0</v>
      </c>
      <c r="V5" s="8">
        <v>1381.562</v>
      </c>
      <c r="W5" s="8">
        <v>45303.895</v>
      </c>
      <c r="X5" s="8">
        <v>3708.152</v>
      </c>
      <c r="Y5" s="8">
        <f t="shared" si="2"/>
        <v>1994</v>
      </c>
      <c r="Z5" s="10">
        <f t="shared" ref="Z5:AB5" si="5">B6-B5</f>
        <v>-0.003</v>
      </c>
      <c r="AA5" s="10">
        <f t="shared" si="5"/>
        <v>0.006</v>
      </c>
      <c r="AB5" s="10">
        <f t="shared" si="5"/>
        <v>-0.003</v>
      </c>
    </row>
    <row r="6">
      <c r="A6" s="8">
        <v>1994.0</v>
      </c>
      <c r="B6" s="8">
        <v>0.382</v>
      </c>
      <c r="C6" s="8">
        <v>0.699</v>
      </c>
      <c r="D6" s="8">
        <v>0.662</v>
      </c>
      <c r="F6" s="8">
        <v>1994.0</v>
      </c>
      <c r="G6" s="8">
        <v>49.88</v>
      </c>
      <c r="H6" s="8">
        <v>70.587</v>
      </c>
      <c r="I6" s="8">
        <v>74.092</v>
      </c>
      <c r="K6" s="8">
        <v>1994.0</v>
      </c>
      <c r="L6" s="8">
        <v>6.48</v>
      </c>
      <c r="M6" s="8">
        <v>9.994</v>
      </c>
      <c r="N6" s="8">
        <v>11.703</v>
      </c>
      <c r="P6" s="8">
        <v>1994.0</v>
      </c>
      <c r="Q6" s="8">
        <v>4.354</v>
      </c>
      <c r="R6" s="8">
        <v>5.977</v>
      </c>
      <c r="S6" s="8">
        <v>9.384</v>
      </c>
      <c r="U6" s="8">
        <v>1994.0</v>
      </c>
      <c r="V6" s="8">
        <v>1187.045</v>
      </c>
      <c r="W6" s="8">
        <v>44264.627</v>
      </c>
      <c r="X6" s="8">
        <v>3717.783</v>
      </c>
      <c r="Y6" s="8">
        <f t="shared" si="2"/>
        <v>1995</v>
      </c>
      <c r="Z6" s="10">
        <f t="shared" ref="Z6:AB6" si="6">B7-B6</f>
        <v>0.003</v>
      </c>
      <c r="AA6" s="10">
        <f t="shared" si="6"/>
        <v>0.006</v>
      </c>
      <c r="AB6" s="10">
        <f t="shared" si="6"/>
        <v>0.002</v>
      </c>
    </row>
    <row r="7">
      <c r="A7" s="8">
        <v>1995.0</v>
      </c>
      <c r="B7" s="8">
        <v>0.385</v>
      </c>
      <c r="C7" s="8">
        <v>0.705</v>
      </c>
      <c r="D7" s="8">
        <v>0.664</v>
      </c>
      <c r="F7" s="8">
        <v>1995.0</v>
      </c>
      <c r="G7" s="8">
        <v>50.381</v>
      </c>
      <c r="H7" s="8">
        <v>70.944</v>
      </c>
      <c r="I7" s="8">
        <v>74.346</v>
      </c>
      <c r="K7" s="8">
        <v>1995.0</v>
      </c>
      <c r="L7" s="8">
        <v>6.554</v>
      </c>
      <c r="M7" s="8">
        <v>10.243</v>
      </c>
      <c r="N7" s="8">
        <v>11.525</v>
      </c>
      <c r="P7" s="8">
        <v>1995.0</v>
      </c>
      <c r="Q7" s="8">
        <v>4.563</v>
      </c>
      <c r="R7" s="8">
        <v>6.077</v>
      </c>
      <c r="S7" s="8">
        <v>9.532</v>
      </c>
      <c r="U7" s="8">
        <v>1995.0</v>
      </c>
      <c r="V7" s="8">
        <v>1122.086</v>
      </c>
      <c r="W7" s="8">
        <v>43134.207</v>
      </c>
      <c r="X7" s="8">
        <v>3770.623</v>
      </c>
      <c r="Y7" s="8">
        <f t="shared" si="2"/>
        <v>1996</v>
      </c>
      <c r="Z7" s="10">
        <f t="shared" ref="Z7:AB7" si="7">B8-B7</f>
        <v>0.001</v>
      </c>
      <c r="AA7" s="10">
        <f t="shared" si="7"/>
        <v>0.006</v>
      </c>
      <c r="AB7" s="10">
        <f t="shared" si="7"/>
        <v>0.011</v>
      </c>
    </row>
    <row r="8">
      <c r="A8" s="8">
        <v>1996.0</v>
      </c>
      <c r="B8" s="8">
        <v>0.386</v>
      </c>
      <c r="C8" s="8">
        <v>0.711</v>
      </c>
      <c r="D8" s="8">
        <v>0.675</v>
      </c>
      <c r="F8" s="8">
        <v>1996.0</v>
      </c>
      <c r="G8" s="8">
        <v>49.376</v>
      </c>
      <c r="H8" s="8">
        <v>71.288</v>
      </c>
      <c r="I8" s="8">
        <v>74.69</v>
      </c>
      <c r="K8" s="8">
        <v>1996.0</v>
      </c>
      <c r="L8" s="8">
        <v>6.631</v>
      </c>
      <c r="M8" s="8">
        <v>10.497</v>
      </c>
      <c r="N8" s="8">
        <v>11.971</v>
      </c>
      <c r="P8" s="8">
        <v>1996.0</v>
      </c>
      <c r="Q8" s="8">
        <v>4.679</v>
      </c>
      <c r="R8" s="8">
        <v>6.196</v>
      </c>
      <c r="S8" s="8">
        <v>9.625</v>
      </c>
      <c r="U8" s="8">
        <v>1996.0</v>
      </c>
      <c r="V8" s="8">
        <v>1179.588</v>
      </c>
      <c r="W8" s="8">
        <v>43082.549</v>
      </c>
      <c r="X8" s="8">
        <v>4063.196</v>
      </c>
      <c r="Y8" s="8">
        <f t="shared" si="2"/>
        <v>1997</v>
      </c>
      <c r="Z8" s="10">
        <f t="shared" ref="Z8:AB8" si="8">B9-B8</f>
        <v>0.002</v>
      </c>
      <c r="AA8" s="10">
        <f t="shared" si="8"/>
        <v>0.007</v>
      </c>
      <c r="AB8" s="10">
        <f t="shared" si="8"/>
        <v>0.004</v>
      </c>
    </row>
    <row r="9">
      <c r="A9" s="8">
        <v>1997.0</v>
      </c>
      <c r="B9" s="8">
        <v>0.388</v>
      </c>
      <c r="C9" s="8">
        <v>0.718</v>
      </c>
      <c r="D9" s="8">
        <v>0.679</v>
      </c>
      <c r="F9" s="8">
        <v>1997.0</v>
      </c>
      <c r="G9" s="8">
        <v>50.461</v>
      </c>
      <c r="H9" s="8">
        <v>71.624</v>
      </c>
      <c r="I9" s="8">
        <v>75.064</v>
      </c>
      <c r="K9" s="8">
        <v>1997.0</v>
      </c>
      <c r="L9" s="8">
        <v>6.708</v>
      </c>
      <c r="M9" s="8">
        <v>10.758</v>
      </c>
      <c r="N9" s="8">
        <v>11.959</v>
      </c>
      <c r="P9" s="8">
        <v>1997.0</v>
      </c>
      <c r="Q9" s="8">
        <v>4.794</v>
      </c>
      <c r="R9" s="8">
        <v>6.314</v>
      </c>
      <c r="S9" s="8">
        <v>9.718</v>
      </c>
      <c r="U9" s="8">
        <v>1997.0</v>
      </c>
      <c r="V9" s="8">
        <v>1090.085</v>
      </c>
      <c r="W9" s="8">
        <v>42404.379</v>
      </c>
      <c r="X9" s="8">
        <v>4165.252</v>
      </c>
      <c r="Y9" s="8">
        <f t="shared" si="2"/>
        <v>1998</v>
      </c>
      <c r="Z9" s="10">
        <f t="shared" ref="Z9:AB9" si="9">B10-B9</f>
        <v>-0.003</v>
      </c>
      <c r="AA9" s="10">
        <f t="shared" si="9"/>
        <v>0.007</v>
      </c>
      <c r="AB9" s="10">
        <f t="shared" si="9"/>
        <v>0.004</v>
      </c>
    </row>
    <row r="10">
      <c r="A10" s="8">
        <v>1998.0</v>
      </c>
      <c r="B10" s="8">
        <v>0.385</v>
      </c>
      <c r="C10" s="8">
        <v>0.725</v>
      </c>
      <c r="D10" s="8">
        <v>0.683</v>
      </c>
      <c r="F10" s="8">
        <v>1998.0</v>
      </c>
      <c r="G10" s="8">
        <v>49.664</v>
      </c>
      <c r="H10" s="8">
        <v>71.957</v>
      </c>
      <c r="I10" s="8">
        <v>75.412</v>
      </c>
      <c r="K10" s="8">
        <v>1998.0</v>
      </c>
      <c r="L10" s="8">
        <v>6.784</v>
      </c>
      <c r="M10" s="8">
        <v>11.026</v>
      </c>
      <c r="N10" s="8">
        <v>12.096</v>
      </c>
      <c r="P10" s="8">
        <v>1998.0</v>
      </c>
      <c r="Q10" s="8">
        <v>4.91</v>
      </c>
      <c r="R10" s="8">
        <v>6.433</v>
      </c>
      <c r="S10" s="8">
        <v>9.811</v>
      </c>
      <c r="U10" s="8">
        <v>1998.0</v>
      </c>
      <c r="V10" s="8">
        <v>1053.263</v>
      </c>
      <c r="W10" s="8">
        <v>42492.788</v>
      </c>
      <c r="X10" s="8">
        <v>4164.696</v>
      </c>
      <c r="Y10" s="8">
        <f t="shared" si="2"/>
        <v>1999</v>
      </c>
      <c r="Z10" s="10">
        <f t="shared" ref="Z10:AB10" si="10">B11-B10</f>
        <v>-0.002</v>
      </c>
      <c r="AA10" s="10">
        <f t="shared" si="10"/>
        <v>0.004</v>
      </c>
      <c r="AB10" s="10">
        <f t="shared" si="10"/>
        <v>0.007</v>
      </c>
    </row>
    <row r="11">
      <c r="A11" s="8">
        <v>1999.0</v>
      </c>
      <c r="B11" s="8">
        <v>0.383</v>
      </c>
      <c r="C11" s="8">
        <v>0.729</v>
      </c>
      <c r="D11" s="8">
        <v>0.69</v>
      </c>
      <c r="F11" s="8">
        <v>1999.0</v>
      </c>
      <c r="G11" s="8">
        <v>50.089</v>
      </c>
      <c r="H11" s="8">
        <v>72.29</v>
      </c>
      <c r="I11" s="8">
        <v>75.719</v>
      </c>
      <c r="K11" s="8">
        <v>1999.0</v>
      </c>
      <c r="L11" s="8">
        <v>6.861</v>
      </c>
      <c r="M11" s="8">
        <v>11.3</v>
      </c>
      <c r="N11" s="8">
        <v>12.233</v>
      </c>
      <c r="P11" s="8">
        <v>1999.0</v>
      </c>
      <c r="Q11" s="8">
        <v>5.026</v>
      </c>
      <c r="R11" s="8">
        <v>6.551</v>
      </c>
      <c r="S11" s="8">
        <v>9.904</v>
      </c>
      <c r="U11" s="8">
        <v>1999.0</v>
      </c>
      <c r="V11" s="8">
        <v>945.769</v>
      </c>
      <c r="W11" s="8">
        <v>39848.292</v>
      </c>
      <c r="X11" s="8">
        <v>4404.378</v>
      </c>
      <c r="Y11" s="8">
        <f t="shared" si="2"/>
        <v>2000</v>
      </c>
      <c r="Z11" s="10">
        <f t="shared" ref="Z11:AB11" si="11">B12-B11</f>
        <v>0.008</v>
      </c>
      <c r="AA11" s="10">
        <f t="shared" si="11"/>
        <v>0.008</v>
      </c>
      <c r="AB11" s="10">
        <f t="shared" si="11"/>
        <v>0.007</v>
      </c>
    </row>
    <row r="12">
      <c r="A12" s="8">
        <v>2000.0</v>
      </c>
      <c r="B12" s="8">
        <v>0.391</v>
      </c>
      <c r="C12" s="8">
        <v>0.737</v>
      </c>
      <c r="D12" s="8">
        <v>0.697</v>
      </c>
      <c r="F12" s="8">
        <v>2000.0</v>
      </c>
      <c r="G12" s="8">
        <v>51.887</v>
      </c>
      <c r="H12" s="8">
        <v>72.607</v>
      </c>
      <c r="I12" s="8">
        <v>75.922</v>
      </c>
      <c r="K12" s="8">
        <v>2000.0</v>
      </c>
      <c r="L12" s="8">
        <v>6.938</v>
      </c>
      <c r="M12" s="8">
        <v>11.581</v>
      </c>
      <c r="N12" s="8">
        <v>12.445</v>
      </c>
      <c r="P12" s="8">
        <v>2000.0</v>
      </c>
      <c r="Q12" s="8">
        <v>5.141</v>
      </c>
      <c r="R12" s="8">
        <v>6.67</v>
      </c>
      <c r="S12" s="8">
        <v>9.997</v>
      </c>
      <c r="U12" s="8">
        <v>2000.0</v>
      </c>
      <c r="V12" s="8">
        <v>919.551</v>
      </c>
      <c r="W12" s="8">
        <v>41039.54</v>
      </c>
      <c r="X12" s="8">
        <v>4638.886</v>
      </c>
      <c r="Y12" s="8">
        <f t="shared" si="2"/>
        <v>2001</v>
      </c>
      <c r="Z12" s="10">
        <f t="shared" ref="Z12:AB12" si="12">B13-B12</f>
        <v>-0.002</v>
      </c>
      <c r="AA12" s="10">
        <f t="shared" si="12"/>
        <v>0.007</v>
      </c>
      <c r="AB12" s="10">
        <f t="shared" si="12"/>
        <v>0.008</v>
      </c>
    </row>
    <row r="13">
      <c r="A13" s="8">
        <v>2001.0</v>
      </c>
      <c r="B13" s="8">
        <v>0.389</v>
      </c>
      <c r="C13" s="8">
        <v>0.744</v>
      </c>
      <c r="D13" s="8">
        <v>0.705</v>
      </c>
      <c r="F13" s="8">
        <v>2001.0</v>
      </c>
      <c r="G13" s="8">
        <v>52.205</v>
      </c>
      <c r="H13" s="8">
        <v>72.951</v>
      </c>
      <c r="I13" s="8">
        <v>76.429</v>
      </c>
      <c r="K13" s="8">
        <v>2001.0</v>
      </c>
      <c r="L13" s="8">
        <v>7.015</v>
      </c>
      <c r="M13" s="8">
        <v>11.869</v>
      </c>
      <c r="N13" s="8">
        <v>12.719</v>
      </c>
      <c r="P13" s="8">
        <v>2001.0</v>
      </c>
      <c r="Q13" s="8">
        <v>5.201</v>
      </c>
      <c r="R13" s="8">
        <v>6.883</v>
      </c>
      <c r="S13" s="8">
        <v>10.084</v>
      </c>
      <c r="U13" s="8">
        <v>2001.0</v>
      </c>
      <c r="V13" s="8">
        <v>846.636</v>
      </c>
      <c r="W13" s="8">
        <v>39554.064</v>
      </c>
      <c r="X13" s="8">
        <v>4793.522</v>
      </c>
      <c r="Y13" s="8">
        <f t="shared" si="2"/>
        <v>2002</v>
      </c>
      <c r="Z13" s="10">
        <f t="shared" ref="Z13:AB13" si="13">B14-B13</f>
        <v>0.003</v>
      </c>
      <c r="AA13" s="10">
        <f t="shared" si="13"/>
        <v>0.006</v>
      </c>
      <c r="AB13" s="10">
        <f t="shared" si="13"/>
        <v>0.006</v>
      </c>
    </row>
    <row r="14">
      <c r="A14" s="8">
        <v>2002.0</v>
      </c>
      <c r="B14" s="8">
        <v>0.392</v>
      </c>
      <c r="C14" s="8">
        <v>0.75</v>
      </c>
      <c r="D14" s="8">
        <v>0.711</v>
      </c>
      <c r="F14" s="8">
        <v>2002.0</v>
      </c>
      <c r="G14" s="8">
        <v>52.371</v>
      </c>
      <c r="H14" s="8">
        <v>73.296</v>
      </c>
      <c r="I14" s="8">
        <v>76.766</v>
      </c>
      <c r="K14" s="8">
        <v>2002.0</v>
      </c>
      <c r="L14" s="8">
        <v>7.091</v>
      </c>
      <c r="M14" s="8">
        <v>12.164</v>
      </c>
      <c r="N14" s="8">
        <v>13.051</v>
      </c>
      <c r="P14" s="8">
        <v>2002.0</v>
      </c>
      <c r="Q14" s="8">
        <v>5.26</v>
      </c>
      <c r="R14" s="8">
        <v>7.095</v>
      </c>
      <c r="S14" s="8">
        <v>10.17</v>
      </c>
      <c r="U14" s="8">
        <v>2002.0</v>
      </c>
      <c r="V14" s="8">
        <v>860.329</v>
      </c>
      <c r="W14" s="8">
        <v>37525.731</v>
      </c>
      <c r="X14" s="8">
        <v>4851.106</v>
      </c>
      <c r="Y14" s="8">
        <f t="shared" si="2"/>
        <v>2003</v>
      </c>
      <c r="Z14" s="10">
        <f t="shared" ref="Z14:AB14" si="14">B15-B14</f>
        <v>0.006</v>
      </c>
      <c r="AA14" s="10">
        <f t="shared" si="14"/>
        <v>0.012</v>
      </c>
      <c r="AB14" s="10">
        <f t="shared" si="14"/>
        <v>0.01</v>
      </c>
    </row>
    <row r="15">
      <c r="A15" s="8">
        <v>2003.0</v>
      </c>
      <c r="B15" s="8">
        <v>0.398</v>
      </c>
      <c r="C15" s="8">
        <v>0.762</v>
      </c>
      <c r="D15" s="8">
        <v>0.721</v>
      </c>
      <c r="F15" s="8">
        <v>2003.0</v>
      </c>
      <c r="G15" s="8">
        <v>52.952</v>
      </c>
      <c r="H15" s="8">
        <v>73.657</v>
      </c>
      <c r="I15" s="8">
        <v>77.405</v>
      </c>
      <c r="K15" s="8">
        <v>2003.0</v>
      </c>
      <c r="L15" s="8">
        <v>7.168</v>
      </c>
      <c r="M15" s="8">
        <v>12.466</v>
      </c>
      <c r="N15" s="8">
        <v>13.449</v>
      </c>
      <c r="P15" s="8">
        <v>2003.0</v>
      </c>
      <c r="Q15" s="8">
        <v>5.319</v>
      </c>
      <c r="R15" s="8">
        <v>7.308</v>
      </c>
      <c r="S15" s="8">
        <v>10.303</v>
      </c>
      <c r="U15" s="8">
        <v>2003.0</v>
      </c>
      <c r="V15" s="8">
        <v>888.628</v>
      </c>
      <c r="W15" s="8">
        <v>40793.362</v>
      </c>
      <c r="X15" s="8">
        <v>5018.233</v>
      </c>
      <c r="Y15" s="8">
        <f t="shared" si="2"/>
        <v>2004</v>
      </c>
      <c r="Z15" s="10">
        <f t="shared" ref="Z15:AB15" si="15">B16-B15</f>
        <v>0.005</v>
      </c>
      <c r="AA15" s="10">
        <f t="shared" si="15"/>
        <v>0.011</v>
      </c>
      <c r="AB15" s="10">
        <f t="shared" si="15"/>
        <v>0.013</v>
      </c>
    </row>
    <row r="16">
      <c r="A16" s="8">
        <v>2004.0</v>
      </c>
      <c r="B16" s="8">
        <v>0.403</v>
      </c>
      <c r="C16" s="8">
        <v>0.773</v>
      </c>
      <c r="D16" s="8">
        <v>0.734</v>
      </c>
      <c r="F16" s="8">
        <v>2004.0</v>
      </c>
      <c r="G16" s="8">
        <v>53.534</v>
      </c>
      <c r="H16" s="8">
        <v>74.027</v>
      </c>
      <c r="I16" s="8">
        <v>77.326</v>
      </c>
      <c r="K16" s="8">
        <v>2004.0</v>
      </c>
      <c r="L16" s="8">
        <v>7.245</v>
      </c>
      <c r="M16" s="8">
        <v>12.776</v>
      </c>
      <c r="N16" s="8">
        <v>14.388</v>
      </c>
      <c r="P16" s="8">
        <v>2004.0</v>
      </c>
      <c r="Q16" s="8">
        <v>5.379</v>
      </c>
      <c r="R16" s="8">
        <v>7.52</v>
      </c>
      <c r="S16" s="8">
        <v>10.436</v>
      </c>
      <c r="U16" s="8">
        <v>2004.0</v>
      </c>
      <c r="V16" s="8">
        <v>916.183</v>
      </c>
      <c r="W16" s="8">
        <v>43088.876</v>
      </c>
      <c r="X16" s="8">
        <v>5286.393</v>
      </c>
      <c r="Y16" s="8">
        <f t="shared" si="2"/>
        <v>2005</v>
      </c>
      <c r="Z16" s="10">
        <f t="shared" ref="Z16:AB16" si="16">B17-B16</f>
        <v>0.005</v>
      </c>
      <c r="AA16" s="10">
        <f t="shared" si="16"/>
        <v>0.009</v>
      </c>
      <c r="AB16" s="10">
        <f t="shared" si="16"/>
        <v>0.013</v>
      </c>
    </row>
    <row r="17">
      <c r="A17" s="8">
        <v>2005.0</v>
      </c>
      <c r="B17" s="8">
        <v>0.408</v>
      </c>
      <c r="C17" s="8">
        <v>0.782</v>
      </c>
      <c r="D17" s="8">
        <v>0.747</v>
      </c>
      <c r="F17" s="8">
        <v>2005.0</v>
      </c>
      <c r="G17" s="8">
        <v>54.001</v>
      </c>
      <c r="H17" s="8">
        <v>74.4</v>
      </c>
      <c r="I17" s="8">
        <v>77.54</v>
      </c>
      <c r="K17" s="8">
        <v>2005.0</v>
      </c>
      <c r="L17" s="8">
        <v>7.321</v>
      </c>
      <c r="M17" s="8">
        <v>13.094</v>
      </c>
      <c r="N17" s="8">
        <v>14.809</v>
      </c>
      <c r="P17" s="8">
        <v>2005.0</v>
      </c>
      <c r="Q17" s="8">
        <v>5.438</v>
      </c>
      <c r="R17" s="8">
        <v>7.758</v>
      </c>
      <c r="S17" s="8">
        <v>10.569</v>
      </c>
      <c r="U17" s="8">
        <v>2005.0</v>
      </c>
      <c r="V17" s="8">
        <v>930.376</v>
      </c>
      <c r="W17" s="8">
        <v>44118.576</v>
      </c>
      <c r="X17" s="8">
        <v>5878.996</v>
      </c>
      <c r="Y17" s="8">
        <f t="shared" si="2"/>
        <v>2006</v>
      </c>
      <c r="Z17" s="10">
        <f t="shared" ref="Z17:AB17" si="17">B18-B17</f>
        <v>0.005</v>
      </c>
      <c r="AA17" s="10">
        <f t="shared" si="17"/>
        <v>0.003</v>
      </c>
      <c r="AB17" s="10">
        <f t="shared" si="17"/>
        <v>0.019</v>
      </c>
    </row>
    <row r="18">
      <c r="A18" s="8">
        <v>2006.0</v>
      </c>
      <c r="B18" s="8">
        <v>0.413</v>
      </c>
      <c r="C18" s="8">
        <v>0.785</v>
      </c>
      <c r="D18" s="8">
        <v>0.766</v>
      </c>
      <c r="F18" s="8">
        <v>2006.0</v>
      </c>
      <c r="G18" s="8">
        <v>54.498</v>
      </c>
      <c r="H18" s="8">
        <v>74.762</v>
      </c>
      <c r="I18" s="8">
        <v>77.406</v>
      </c>
      <c r="K18" s="8">
        <v>2006.0</v>
      </c>
      <c r="L18" s="8">
        <v>7.398</v>
      </c>
      <c r="M18" s="8">
        <v>12.9</v>
      </c>
      <c r="N18" s="8">
        <v>16.061</v>
      </c>
      <c r="P18" s="8">
        <v>2006.0</v>
      </c>
      <c r="Q18" s="8">
        <v>5.479</v>
      </c>
      <c r="R18" s="8">
        <v>7.996</v>
      </c>
      <c r="S18" s="8">
        <v>10.702</v>
      </c>
      <c r="U18" s="8">
        <v>2006.0</v>
      </c>
      <c r="V18" s="8">
        <v>958.876</v>
      </c>
      <c r="W18" s="8">
        <v>43588.586</v>
      </c>
      <c r="X18" s="8">
        <v>6599.92</v>
      </c>
      <c r="Y18" s="8">
        <f t="shared" si="2"/>
        <v>2007</v>
      </c>
      <c r="Z18" s="10">
        <f t="shared" ref="Z18:AB18" si="18">B19-B18</f>
        <v>0.004</v>
      </c>
      <c r="AA18" s="10">
        <f t="shared" si="18"/>
        <v>0.001</v>
      </c>
      <c r="AB18" s="10">
        <f t="shared" si="18"/>
        <v>0.014</v>
      </c>
    </row>
    <row r="19">
      <c r="A19" s="8">
        <v>2007.0</v>
      </c>
      <c r="B19" s="8">
        <v>0.417</v>
      </c>
      <c r="C19" s="8">
        <v>0.786</v>
      </c>
      <c r="D19" s="8">
        <v>0.78</v>
      </c>
      <c r="F19" s="8">
        <v>2007.0</v>
      </c>
      <c r="G19" s="8">
        <v>54.954</v>
      </c>
      <c r="H19" s="8">
        <v>75.066</v>
      </c>
      <c r="I19" s="8">
        <v>77.55</v>
      </c>
      <c r="K19" s="8">
        <v>2007.0</v>
      </c>
      <c r="L19" s="8">
        <v>7.475</v>
      </c>
      <c r="M19" s="8">
        <v>12.707</v>
      </c>
      <c r="N19" s="8">
        <v>17.04</v>
      </c>
      <c r="P19" s="8">
        <v>2007.0</v>
      </c>
      <c r="Q19" s="8">
        <v>5.519</v>
      </c>
      <c r="R19" s="8">
        <v>8.233</v>
      </c>
      <c r="S19" s="8">
        <v>10.835</v>
      </c>
      <c r="U19" s="8">
        <v>2007.0</v>
      </c>
      <c r="V19" s="8">
        <v>979.518</v>
      </c>
      <c r="W19" s="8">
        <v>42683.23</v>
      </c>
      <c r="X19" s="8">
        <v>7040.287</v>
      </c>
      <c r="Y19" s="8">
        <f t="shared" si="2"/>
        <v>2008</v>
      </c>
      <c r="Z19" s="10">
        <f t="shared" ref="Z19:AB19" si="19">B20-B19</f>
        <v>0.009</v>
      </c>
      <c r="AA19" s="10">
        <f t="shared" si="19"/>
        <v>0.006</v>
      </c>
      <c r="AB19" s="10">
        <f t="shared" si="19"/>
        <v>0.008</v>
      </c>
    </row>
    <row r="20">
      <c r="A20" s="8">
        <v>2008.0</v>
      </c>
      <c r="B20" s="8">
        <v>0.426</v>
      </c>
      <c r="C20" s="8">
        <v>0.792</v>
      </c>
      <c r="D20" s="8">
        <v>0.788</v>
      </c>
      <c r="F20" s="8">
        <v>2008.0</v>
      </c>
      <c r="G20" s="8">
        <v>55.388</v>
      </c>
      <c r="H20" s="8">
        <v>75.301</v>
      </c>
      <c r="I20" s="8">
        <v>77.589</v>
      </c>
      <c r="K20" s="8">
        <v>2008.0</v>
      </c>
      <c r="L20" s="8">
        <v>8.198</v>
      </c>
      <c r="M20" s="8">
        <v>12.762</v>
      </c>
      <c r="N20" s="8">
        <v>17.524</v>
      </c>
      <c r="P20" s="8">
        <v>2008.0</v>
      </c>
      <c r="Q20" s="8">
        <v>5.56</v>
      </c>
      <c r="R20" s="8">
        <v>8.471</v>
      </c>
      <c r="S20" s="8">
        <v>10.968</v>
      </c>
      <c r="U20" s="8">
        <v>2008.0</v>
      </c>
      <c r="V20" s="8">
        <v>980.446</v>
      </c>
      <c r="W20" s="8">
        <v>43636.313</v>
      </c>
      <c r="X20" s="8">
        <v>7320.014</v>
      </c>
      <c r="Y20" s="8">
        <f t="shared" si="2"/>
        <v>2009</v>
      </c>
      <c r="Z20" s="10">
        <f t="shared" ref="Z20:AB20" si="20">B21-B20</f>
        <v>0.005</v>
      </c>
      <c r="AA20" s="10">
        <f t="shared" si="20"/>
        <v>0.002</v>
      </c>
      <c r="AB20" s="10">
        <f t="shared" si="20"/>
        <v>0</v>
      </c>
    </row>
    <row r="21">
      <c r="A21" s="8">
        <v>2009.0</v>
      </c>
      <c r="B21" s="8">
        <v>0.431</v>
      </c>
      <c r="C21" s="8">
        <v>0.794</v>
      </c>
      <c r="D21" s="8">
        <v>0.788</v>
      </c>
      <c r="F21" s="8">
        <v>2009.0</v>
      </c>
      <c r="G21" s="8">
        <v>55.798</v>
      </c>
      <c r="H21" s="8">
        <v>75.447</v>
      </c>
      <c r="I21" s="8">
        <v>77.584</v>
      </c>
      <c r="K21" s="8">
        <v>2009.0</v>
      </c>
      <c r="L21" s="8">
        <v>8.353</v>
      </c>
      <c r="M21" s="8">
        <v>12.818</v>
      </c>
      <c r="N21" s="8">
        <v>17.296</v>
      </c>
      <c r="P21" s="8">
        <v>2009.0</v>
      </c>
      <c r="Q21" s="8">
        <v>5.601</v>
      </c>
      <c r="R21" s="8">
        <v>8.709</v>
      </c>
      <c r="S21" s="8">
        <v>11.101</v>
      </c>
      <c r="U21" s="8">
        <v>2009.0</v>
      </c>
      <c r="V21" s="8">
        <v>1001.194</v>
      </c>
      <c r="W21" s="8">
        <v>41167.618</v>
      </c>
      <c r="X21" s="8">
        <v>7355.438</v>
      </c>
      <c r="Y21" s="8">
        <f t="shared" si="2"/>
        <v>2010</v>
      </c>
      <c r="Z21" s="10">
        <f t="shared" ref="Z21:AB21" si="21">B22-B21</f>
        <v>0.009</v>
      </c>
      <c r="AA21" s="10">
        <f t="shared" si="21"/>
        <v>0.007</v>
      </c>
      <c r="AB21" s="10">
        <f t="shared" si="21"/>
        <v>-0.005</v>
      </c>
    </row>
    <row r="22">
      <c r="A22" s="8">
        <v>2010.0</v>
      </c>
      <c r="B22" s="8">
        <v>0.44</v>
      </c>
      <c r="C22" s="8">
        <v>0.801</v>
      </c>
      <c r="D22" s="8">
        <v>0.783</v>
      </c>
      <c r="F22" s="8">
        <v>2010.0</v>
      </c>
      <c r="G22" s="8">
        <v>56.411</v>
      </c>
      <c r="H22" s="8">
        <v>75.616</v>
      </c>
      <c r="I22" s="8">
        <v>77.876</v>
      </c>
      <c r="K22" s="8">
        <v>2010.0</v>
      </c>
      <c r="L22" s="8">
        <v>8.691</v>
      </c>
      <c r="M22" s="8">
        <v>13.014</v>
      </c>
      <c r="N22" s="8">
        <v>16.27</v>
      </c>
      <c r="P22" s="8">
        <v>2010.0</v>
      </c>
      <c r="Q22" s="8">
        <v>5.641</v>
      </c>
      <c r="R22" s="8">
        <v>8.947</v>
      </c>
      <c r="S22" s="8">
        <v>11.234</v>
      </c>
      <c r="U22" s="8">
        <v>2010.0</v>
      </c>
      <c r="V22" s="8">
        <v>1035.517</v>
      </c>
      <c r="W22" s="8">
        <v>41877.697</v>
      </c>
      <c r="X22" s="8">
        <v>7561.987</v>
      </c>
      <c r="Y22" s="8">
        <f t="shared" si="2"/>
        <v>2011</v>
      </c>
      <c r="Z22" s="10">
        <f t="shared" ref="Z22:AB22" si="22">B23-B22</f>
        <v>0.007</v>
      </c>
      <c r="AA22" s="10">
        <f t="shared" si="22"/>
        <v>0.01</v>
      </c>
      <c r="AB22" s="10">
        <f t="shared" si="22"/>
        <v>-0.002</v>
      </c>
    </row>
    <row r="23">
      <c r="A23" s="8">
        <v>2011.0</v>
      </c>
      <c r="B23" s="8">
        <v>0.447</v>
      </c>
      <c r="C23" s="8">
        <v>0.811</v>
      </c>
      <c r="D23" s="8">
        <v>0.781</v>
      </c>
      <c r="F23" s="8">
        <v>2011.0</v>
      </c>
      <c r="G23" s="8">
        <v>56.911</v>
      </c>
      <c r="H23" s="8">
        <v>75.808</v>
      </c>
      <c r="I23" s="8">
        <v>78.051</v>
      </c>
      <c r="K23" s="8">
        <v>2011.0</v>
      </c>
      <c r="L23" s="8">
        <v>9.029</v>
      </c>
      <c r="M23" s="8">
        <v>13.21</v>
      </c>
      <c r="N23" s="8">
        <v>15.498</v>
      </c>
      <c r="P23" s="8">
        <v>2011.0</v>
      </c>
      <c r="Q23" s="8">
        <v>5.747</v>
      </c>
      <c r="R23" s="8">
        <v>9.184</v>
      </c>
      <c r="S23" s="8">
        <v>11.367</v>
      </c>
      <c r="U23" s="8">
        <v>2011.0</v>
      </c>
      <c r="V23" s="8">
        <v>1057.41</v>
      </c>
      <c r="W23" s="8">
        <v>45342.341</v>
      </c>
      <c r="X23" s="8">
        <v>7825.385</v>
      </c>
      <c r="Y23" s="8">
        <f t="shared" si="2"/>
        <v>2012</v>
      </c>
      <c r="Z23" s="10">
        <f t="shared" ref="Z23:AB23" si="23">B24-B23</f>
        <v>0.004</v>
      </c>
      <c r="AA23" s="10">
        <f t="shared" si="23"/>
        <v>0.008</v>
      </c>
      <c r="AB23" s="10">
        <f t="shared" si="23"/>
        <v>-0.004</v>
      </c>
    </row>
    <row r="24">
      <c r="A24" s="8">
        <v>2012.0</v>
      </c>
      <c r="B24" s="8">
        <v>0.451</v>
      </c>
      <c r="C24" s="8">
        <v>0.819</v>
      </c>
      <c r="D24" s="8">
        <v>0.777</v>
      </c>
      <c r="F24" s="8">
        <v>2012.0</v>
      </c>
      <c r="G24" s="8">
        <v>57.35</v>
      </c>
      <c r="H24" s="8">
        <v>76.09</v>
      </c>
      <c r="I24" s="8">
        <v>78.162</v>
      </c>
      <c r="K24" s="8">
        <v>2012.0</v>
      </c>
      <c r="L24" s="8">
        <v>8.893</v>
      </c>
      <c r="M24" s="8">
        <v>13.406</v>
      </c>
      <c r="N24" s="8">
        <v>14.615</v>
      </c>
      <c r="P24" s="8">
        <v>2012.0</v>
      </c>
      <c r="Q24" s="8">
        <v>5.854</v>
      </c>
      <c r="R24" s="8">
        <v>9.422</v>
      </c>
      <c r="S24" s="8">
        <v>11.5</v>
      </c>
      <c r="U24" s="8">
        <v>2012.0</v>
      </c>
      <c r="V24" s="8">
        <v>1085.659</v>
      </c>
      <c r="W24" s="8">
        <v>46754.976</v>
      </c>
      <c r="X24" s="8">
        <v>8075.057</v>
      </c>
      <c r="Y24" s="8">
        <f t="shared" si="2"/>
        <v>2013</v>
      </c>
      <c r="Z24" s="10">
        <f t="shared" ref="Z24:AB24" si="24">B25-B24</f>
        <v>0.005</v>
      </c>
      <c r="AA24" s="10">
        <f t="shared" si="24"/>
        <v>0.008</v>
      </c>
      <c r="AB24" s="10">
        <f t="shared" si="24"/>
        <v>-0.006</v>
      </c>
    </row>
    <row r="25">
      <c r="A25" s="8">
        <v>2013.0</v>
      </c>
      <c r="B25" s="8">
        <v>0.456</v>
      </c>
      <c r="C25" s="8">
        <v>0.827</v>
      </c>
      <c r="D25" s="8">
        <v>0.771</v>
      </c>
      <c r="F25" s="8">
        <v>2013.0</v>
      </c>
      <c r="G25" s="8">
        <v>57.795</v>
      </c>
      <c r="H25" s="8">
        <v>76.517</v>
      </c>
      <c r="I25" s="8">
        <v>78.028</v>
      </c>
      <c r="K25" s="8">
        <v>2013.0</v>
      </c>
      <c r="L25" s="8">
        <v>9.145</v>
      </c>
      <c r="M25" s="8">
        <v>13.602</v>
      </c>
      <c r="N25" s="8">
        <v>13.988</v>
      </c>
      <c r="P25" s="8">
        <v>2013.0</v>
      </c>
      <c r="Q25" s="8">
        <v>5.96</v>
      </c>
      <c r="R25" s="8">
        <v>9.66</v>
      </c>
      <c r="S25" s="8">
        <v>11.381</v>
      </c>
      <c r="U25" s="8">
        <v>2013.0</v>
      </c>
      <c r="V25" s="8">
        <v>1090.946</v>
      </c>
      <c r="W25" s="8">
        <v>46933.639</v>
      </c>
      <c r="X25" s="8">
        <v>8314.514</v>
      </c>
      <c r="Y25" s="8">
        <f t="shared" si="2"/>
        <v>2014</v>
      </c>
      <c r="Z25" s="10">
        <f t="shared" ref="Z25:AB25" si="25">B26-B25</f>
        <v>0.011</v>
      </c>
      <c r="AA25" s="10">
        <f t="shared" si="25"/>
        <v>0.014</v>
      </c>
      <c r="AB25" s="10">
        <f t="shared" si="25"/>
        <v>-0.001</v>
      </c>
    </row>
    <row r="26">
      <c r="A26" s="8">
        <v>2014.0</v>
      </c>
      <c r="B26" s="8">
        <v>0.467</v>
      </c>
      <c r="C26" s="8">
        <v>0.841</v>
      </c>
      <c r="D26" s="8">
        <v>0.77</v>
      </c>
      <c r="F26" s="8">
        <v>2014.0</v>
      </c>
      <c r="G26" s="8">
        <v>58.236</v>
      </c>
      <c r="H26" s="8">
        <v>77.116</v>
      </c>
      <c r="I26" s="8">
        <v>77.825</v>
      </c>
      <c r="K26" s="8">
        <v>2014.0</v>
      </c>
      <c r="L26" s="8">
        <v>9.349</v>
      </c>
      <c r="M26" s="8">
        <v>14.398</v>
      </c>
      <c r="N26" s="8">
        <v>14.05</v>
      </c>
      <c r="P26" s="8">
        <v>2014.0</v>
      </c>
      <c r="Q26" s="8">
        <v>6.227</v>
      </c>
      <c r="R26" s="8">
        <v>9.8</v>
      </c>
      <c r="S26" s="8">
        <v>11.261</v>
      </c>
      <c r="U26" s="8">
        <v>2014.0</v>
      </c>
      <c r="V26" s="8">
        <v>1159.793</v>
      </c>
      <c r="W26" s="8">
        <v>47747.188</v>
      </c>
      <c r="X26" s="8">
        <v>8401.333</v>
      </c>
      <c r="Y26" s="8">
        <f t="shared" si="2"/>
        <v>2015</v>
      </c>
      <c r="Z26" s="10">
        <f t="shared" ref="Z26:AB26" si="26">B27-B26</f>
        <v>0.01</v>
      </c>
      <c r="AA26" s="10">
        <f t="shared" si="26"/>
        <v>0.01</v>
      </c>
      <c r="AB26" s="10">
        <f t="shared" si="26"/>
        <v>-0.001</v>
      </c>
    </row>
    <row r="27">
      <c r="A27" s="8">
        <v>2015.0</v>
      </c>
      <c r="B27" s="8">
        <v>0.477</v>
      </c>
      <c r="C27" s="8">
        <v>0.851</v>
      </c>
      <c r="D27" s="8">
        <v>0.769</v>
      </c>
      <c r="F27" s="8">
        <v>2015.0</v>
      </c>
      <c r="G27" s="8">
        <v>58.658</v>
      </c>
      <c r="H27" s="8">
        <v>77.776</v>
      </c>
      <c r="I27" s="8">
        <v>77.745</v>
      </c>
      <c r="K27" s="8">
        <v>2015.0</v>
      </c>
      <c r="L27" s="8">
        <v>9.558</v>
      </c>
      <c r="M27" s="8">
        <v>14.769</v>
      </c>
      <c r="N27" s="8">
        <v>13.858</v>
      </c>
      <c r="P27" s="8">
        <v>2015.0</v>
      </c>
      <c r="Q27" s="8">
        <v>6.493</v>
      </c>
      <c r="R27" s="8">
        <v>9.94</v>
      </c>
      <c r="S27" s="8">
        <v>11.142</v>
      </c>
      <c r="U27" s="8">
        <v>2015.0</v>
      </c>
      <c r="V27" s="8">
        <v>1219.766</v>
      </c>
      <c r="W27" s="8">
        <v>48948.93</v>
      </c>
      <c r="X27" s="8">
        <v>8784.537</v>
      </c>
      <c r="Y27" s="8">
        <f t="shared" si="2"/>
        <v>2016</v>
      </c>
      <c r="Z27" s="10">
        <f t="shared" ref="Z27:AB27" si="27">B28-B27</f>
        <v>0.01</v>
      </c>
      <c r="AA27" s="10">
        <f t="shared" si="27"/>
        <v>0.009</v>
      </c>
      <c r="AB27" s="10">
        <f t="shared" si="27"/>
        <v>-0.002</v>
      </c>
    </row>
    <row r="28">
      <c r="A28" s="8">
        <v>2016.0</v>
      </c>
      <c r="B28" s="8">
        <v>0.487</v>
      </c>
      <c r="C28" s="8">
        <v>0.86</v>
      </c>
      <c r="D28" s="8">
        <v>0.767</v>
      </c>
      <c r="F28" s="8">
        <v>2016.0</v>
      </c>
      <c r="G28" s="8">
        <v>59.081</v>
      </c>
      <c r="H28" s="8">
        <v>78.354</v>
      </c>
      <c r="I28" s="8">
        <v>77.571</v>
      </c>
      <c r="K28" s="8">
        <v>2016.0</v>
      </c>
      <c r="L28" s="8">
        <v>9.771</v>
      </c>
      <c r="M28" s="8">
        <v>15.14</v>
      </c>
      <c r="N28" s="8">
        <v>13.864</v>
      </c>
      <c r="P28" s="8">
        <v>2016.0</v>
      </c>
      <c r="Q28" s="8">
        <v>6.76</v>
      </c>
      <c r="R28" s="8">
        <v>10.08</v>
      </c>
      <c r="S28" s="8">
        <v>11.022</v>
      </c>
      <c r="U28" s="8">
        <v>2016.0</v>
      </c>
      <c r="V28" s="8">
        <v>1285.253</v>
      </c>
      <c r="W28" s="8">
        <v>48876.783</v>
      </c>
      <c r="X28" s="8">
        <v>8826.242</v>
      </c>
      <c r="Y28" s="8">
        <f t="shared" si="2"/>
        <v>2017</v>
      </c>
      <c r="Z28" s="10">
        <f t="shared" ref="Z28:AB28" si="28">B29-B28</f>
        <v>0.004</v>
      </c>
      <c r="AA28" s="10">
        <f t="shared" si="28"/>
        <v>0.009</v>
      </c>
      <c r="AB28" s="10">
        <f t="shared" si="28"/>
        <v>0</v>
      </c>
    </row>
    <row r="29">
      <c r="A29" s="8">
        <v>2017.0</v>
      </c>
      <c r="B29" s="8">
        <v>0.491</v>
      </c>
      <c r="C29" s="8">
        <v>0.869</v>
      </c>
      <c r="D29" s="8">
        <v>0.767</v>
      </c>
      <c r="F29" s="8">
        <v>2017.0</v>
      </c>
      <c r="G29" s="8">
        <v>59.495</v>
      </c>
      <c r="H29" s="8">
        <v>78.721</v>
      </c>
      <c r="I29" s="8">
        <v>77.3</v>
      </c>
      <c r="K29" s="8">
        <v>2017.0</v>
      </c>
      <c r="L29" s="8">
        <v>9.989</v>
      </c>
      <c r="M29" s="8">
        <v>15.725</v>
      </c>
      <c r="N29" s="8">
        <v>14.066</v>
      </c>
      <c r="P29" s="8">
        <v>2017.0</v>
      </c>
      <c r="Q29" s="8">
        <v>6.904</v>
      </c>
      <c r="R29" s="8">
        <v>10.22</v>
      </c>
      <c r="S29" s="8">
        <v>10.903</v>
      </c>
      <c r="U29" s="8">
        <v>2017.0</v>
      </c>
      <c r="V29" s="8">
        <v>1271.978</v>
      </c>
      <c r="W29" s="8">
        <v>48201.499</v>
      </c>
      <c r="X29" s="8">
        <v>9000.783</v>
      </c>
      <c r="Y29" s="8">
        <f t="shared" si="2"/>
        <v>2018</v>
      </c>
      <c r="Z29" s="10">
        <f t="shared" ref="Z29:AB29" si="29">B30-B29</f>
        <v>0.006</v>
      </c>
      <c r="AA29" s="10">
        <f t="shared" si="29"/>
        <v>0.006</v>
      </c>
      <c r="AB29" s="10">
        <f t="shared" si="29"/>
        <v>0.002</v>
      </c>
    </row>
    <row r="30">
      <c r="A30" s="8">
        <v>2018.0</v>
      </c>
      <c r="B30" s="8">
        <v>0.497</v>
      </c>
      <c r="C30" s="8">
        <v>0.875</v>
      </c>
      <c r="D30" s="8">
        <v>0.769</v>
      </c>
      <c r="F30" s="8">
        <v>2018.0</v>
      </c>
      <c r="G30" s="8">
        <v>59.926</v>
      </c>
      <c r="H30" s="8">
        <v>78.75</v>
      </c>
      <c r="I30" s="8">
        <v>77.426</v>
      </c>
      <c r="K30" s="8">
        <v>2018.0</v>
      </c>
      <c r="L30" s="8">
        <v>10.212</v>
      </c>
      <c r="M30" s="8">
        <v>15.856</v>
      </c>
      <c r="N30" s="8">
        <v>14.201</v>
      </c>
      <c r="P30" s="8">
        <v>2018.0</v>
      </c>
      <c r="Q30" s="8">
        <v>7.048</v>
      </c>
      <c r="R30" s="8">
        <v>10.583</v>
      </c>
      <c r="S30" s="8">
        <v>10.783</v>
      </c>
      <c r="U30" s="8">
        <v>2018.0</v>
      </c>
      <c r="V30" s="8">
        <v>1287.625</v>
      </c>
      <c r="W30" s="8">
        <v>48571.639</v>
      </c>
      <c r="X30" s="8">
        <v>9213.012</v>
      </c>
      <c r="Y30" s="8">
        <f t="shared" si="2"/>
        <v>2019</v>
      </c>
      <c r="Z30" s="10">
        <f t="shared" ref="Z30:AB30" si="30">B31-B30</f>
        <v>0.004</v>
      </c>
      <c r="AA30" s="10">
        <f t="shared" si="30"/>
        <v>0.003</v>
      </c>
      <c r="AB30" s="10">
        <f t="shared" si="30"/>
        <v>0</v>
      </c>
    </row>
    <row r="31">
      <c r="A31" s="8">
        <v>2019.0</v>
      </c>
      <c r="B31" s="8">
        <v>0.501</v>
      </c>
      <c r="C31" s="8">
        <v>0.878</v>
      </c>
      <c r="D31" s="8">
        <v>0.769</v>
      </c>
      <c r="F31" s="8">
        <v>2019.0</v>
      </c>
      <c r="G31" s="8">
        <v>60.242</v>
      </c>
      <c r="H31" s="8">
        <v>78.313</v>
      </c>
      <c r="I31" s="8">
        <v>77.413</v>
      </c>
      <c r="K31" s="8">
        <v>2019.0</v>
      </c>
      <c r="L31" s="8">
        <v>10.44</v>
      </c>
      <c r="M31" s="8">
        <v>15.983</v>
      </c>
      <c r="N31" s="8">
        <v>14.349</v>
      </c>
      <c r="P31" s="8">
        <v>2019.0</v>
      </c>
      <c r="Q31" s="8">
        <v>7.127</v>
      </c>
      <c r="R31" s="8">
        <v>10.947</v>
      </c>
      <c r="S31" s="8">
        <v>10.664</v>
      </c>
      <c r="U31" s="8">
        <v>2019.0</v>
      </c>
      <c r="V31" s="8">
        <v>1276.436</v>
      </c>
      <c r="W31" s="8">
        <v>47995.7</v>
      </c>
      <c r="X31" s="8">
        <v>9182.602</v>
      </c>
      <c r="Y31" s="8">
        <f t="shared" si="2"/>
        <v>2020</v>
      </c>
      <c r="Z31" s="10">
        <f t="shared" ref="Z31:AB31" si="31">B32-B31</f>
        <v>0.005</v>
      </c>
      <c r="AA31" s="10">
        <f t="shared" si="31"/>
        <v>-0.003</v>
      </c>
      <c r="AB31" s="10">
        <f t="shared" si="31"/>
        <v>-0.007</v>
      </c>
    </row>
    <row r="32">
      <c r="A32" s="8">
        <v>2020.0</v>
      </c>
      <c r="B32" s="8">
        <v>0.506</v>
      </c>
      <c r="C32" s="8">
        <v>0.875</v>
      </c>
      <c r="D32" s="8">
        <v>0.762</v>
      </c>
      <c r="F32" s="8">
        <v>2020.0</v>
      </c>
      <c r="G32" s="8">
        <v>60.428</v>
      </c>
      <c r="H32" s="8">
        <v>77.596</v>
      </c>
      <c r="I32" s="8">
        <v>77.407</v>
      </c>
      <c r="K32" s="8">
        <v>2020.0</v>
      </c>
      <c r="L32" s="8">
        <v>10.673</v>
      </c>
      <c r="M32" s="8">
        <v>15.76</v>
      </c>
      <c r="N32" s="8">
        <v>14.426</v>
      </c>
      <c r="P32" s="8">
        <v>2020.0</v>
      </c>
      <c r="Q32" s="8">
        <v>7.206</v>
      </c>
      <c r="R32" s="8">
        <v>11.31</v>
      </c>
      <c r="S32" s="8">
        <v>10.548</v>
      </c>
      <c r="U32" s="8">
        <v>2020.0</v>
      </c>
      <c r="V32" s="8">
        <v>1300.496</v>
      </c>
      <c r="W32" s="8">
        <v>46058.499</v>
      </c>
      <c r="X32" s="8">
        <v>8210.333</v>
      </c>
      <c r="Y32" s="8">
        <f t="shared" si="2"/>
        <v>2021</v>
      </c>
      <c r="Z32" s="10">
        <f t="shared" ref="Z32:AB32" si="32">B33-B32</f>
        <v>0.002</v>
      </c>
      <c r="AA32" s="10">
        <f t="shared" si="32"/>
        <v>0.003</v>
      </c>
      <c r="AB32" s="10">
        <f t="shared" si="32"/>
        <v>-0.017</v>
      </c>
    </row>
    <row r="33">
      <c r="A33" s="8">
        <v>2021.0</v>
      </c>
      <c r="B33" s="8">
        <v>0.508</v>
      </c>
      <c r="C33" s="8">
        <v>0.878</v>
      </c>
      <c r="D33" s="8">
        <v>0.745</v>
      </c>
      <c r="F33" s="8">
        <v>2021.0</v>
      </c>
      <c r="G33" s="8">
        <v>60.044</v>
      </c>
      <c r="H33" s="8">
        <v>77.089</v>
      </c>
      <c r="I33" s="8">
        <v>73.201</v>
      </c>
      <c r="K33" s="8">
        <v>2021.0</v>
      </c>
      <c r="L33" s="8">
        <v>10.911</v>
      </c>
      <c r="M33" s="8">
        <v>15.769</v>
      </c>
      <c r="N33" s="8">
        <v>14.469</v>
      </c>
      <c r="P33" s="8">
        <v>2021.0</v>
      </c>
      <c r="Q33" s="8">
        <v>7.379</v>
      </c>
      <c r="R33" s="8">
        <v>11.606</v>
      </c>
      <c r="S33" s="8">
        <v>10.631</v>
      </c>
      <c r="U33" s="8">
        <v>2021.0</v>
      </c>
      <c r="V33" s="8">
        <v>1309.354</v>
      </c>
      <c r="W33" s="8">
        <v>48458.9</v>
      </c>
      <c r="X33" s="8">
        <v>8353.8</v>
      </c>
      <c r="Y33" s="8">
        <f t="shared" si="2"/>
        <v>2022</v>
      </c>
      <c r="Z33" s="10">
        <f t="shared" ref="Z33:AB33" si="33">B34-B33</f>
        <v>0.006</v>
      </c>
      <c r="AA33" s="10">
        <f t="shared" si="33"/>
        <v>0.015</v>
      </c>
      <c r="AB33" s="10">
        <f t="shared" si="33"/>
        <v>0.019</v>
      </c>
    </row>
    <row r="34">
      <c r="A34" s="8">
        <v>2022.0</v>
      </c>
      <c r="B34" s="8">
        <v>0.514</v>
      </c>
      <c r="C34" s="8">
        <v>0.893</v>
      </c>
      <c r="D34" s="8">
        <v>0.764</v>
      </c>
      <c r="F34" s="8">
        <v>2022.0</v>
      </c>
      <c r="G34" s="8">
        <v>60.979</v>
      </c>
      <c r="H34" s="8">
        <v>77.31</v>
      </c>
      <c r="I34" s="8">
        <v>77.629</v>
      </c>
      <c r="K34" s="8">
        <v>2022.0</v>
      </c>
      <c r="L34" s="8">
        <v>10.911</v>
      </c>
      <c r="M34" s="8">
        <v>16.949</v>
      </c>
      <c r="N34" s="8">
        <v>14.174</v>
      </c>
      <c r="P34" s="8">
        <v>2022.0</v>
      </c>
      <c r="Q34" s="8">
        <v>7.379</v>
      </c>
      <c r="R34" s="8">
        <v>11.606</v>
      </c>
      <c r="S34" s="8">
        <v>10.631</v>
      </c>
      <c r="U34" s="8">
        <v>2022.0</v>
      </c>
      <c r="V34" s="8">
        <v>1340.836</v>
      </c>
      <c r="W34" s="8">
        <v>51430.704</v>
      </c>
      <c r="X34" s="8">
        <v>8549.997</v>
      </c>
      <c r="Y34" s="8">
        <f t="shared" si="2"/>
        <v>2023</v>
      </c>
      <c r="Z34" s="10">
        <f t="shared" ref="Z34:AB34" si="34">B35-B34</f>
        <v>0.008</v>
      </c>
      <c r="AA34" s="10">
        <f t="shared" si="34"/>
        <v>0.007</v>
      </c>
      <c r="AB34" s="10">
        <f t="shared" si="34"/>
        <v>-0.002</v>
      </c>
    </row>
    <row r="35">
      <c r="A35" s="8">
        <v>2023.0</v>
      </c>
      <c r="B35" s="8">
        <v>0.522</v>
      </c>
      <c r="C35" s="8">
        <v>0.9</v>
      </c>
      <c r="D35" s="8">
        <v>0.762</v>
      </c>
      <c r="F35" s="8">
        <v>2023.0</v>
      </c>
      <c r="G35" s="8">
        <v>61.895</v>
      </c>
      <c r="H35" s="8">
        <v>78.732</v>
      </c>
      <c r="I35" s="8">
        <v>78.085</v>
      </c>
      <c r="K35" s="8">
        <v>2023.0</v>
      </c>
      <c r="L35" s="8">
        <v>10.911</v>
      </c>
      <c r="M35" s="8">
        <v>16.949</v>
      </c>
      <c r="N35" s="8">
        <v>13.879</v>
      </c>
      <c r="P35" s="8">
        <v>2023.0</v>
      </c>
      <c r="Q35" s="8">
        <v>7.379</v>
      </c>
      <c r="R35" s="8">
        <v>11.606</v>
      </c>
      <c r="S35" s="8">
        <v>10.631</v>
      </c>
      <c r="U35" s="8">
        <v>2023.0</v>
      </c>
      <c r="V35" s="8">
        <v>1431.048</v>
      </c>
      <c r="W35" s="8">
        <v>50298.914</v>
      </c>
      <c r="X35" s="8">
        <v>8415.412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29.75"/>
    <col customWidth="1" min="5" max="5" width="26.63"/>
    <col customWidth="1" min="6" max="6" width="22.63"/>
  </cols>
  <sheetData>
    <row r="1">
      <c r="A1" s="1" t="s">
        <v>46</v>
      </c>
    </row>
    <row r="2">
      <c r="A2" s="2" t="s">
        <v>1</v>
      </c>
    </row>
    <row r="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>
        <v>1990.0</v>
      </c>
      <c r="B4" s="12">
        <v>0.67</v>
      </c>
      <c r="C4" s="12">
        <v>68.874</v>
      </c>
      <c r="D4" s="12">
        <v>9.059</v>
      </c>
      <c r="E4" s="12">
        <v>5.575</v>
      </c>
      <c r="F4" s="12">
        <v>42824.562</v>
      </c>
    </row>
    <row r="5">
      <c r="A5" s="12">
        <v>1991.0</v>
      </c>
      <c r="B5" s="12">
        <v>0.681</v>
      </c>
      <c r="C5" s="12">
        <v>69.341</v>
      </c>
      <c r="D5" s="12">
        <v>9.285</v>
      </c>
      <c r="E5" s="12">
        <v>5.676</v>
      </c>
      <c r="F5" s="12">
        <v>47330.828</v>
      </c>
    </row>
    <row r="6">
      <c r="A6" s="12">
        <v>1992.0</v>
      </c>
      <c r="B6" s="12">
        <v>0.688</v>
      </c>
      <c r="C6" s="12">
        <v>69.799</v>
      </c>
      <c r="D6" s="12">
        <v>9.515</v>
      </c>
      <c r="E6" s="12">
        <v>5.776</v>
      </c>
      <c r="F6" s="12">
        <v>47432.198</v>
      </c>
    </row>
    <row r="7">
      <c r="A7" s="12">
        <v>1993.0</v>
      </c>
      <c r="B7" s="12">
        <v>0.693</v>
      </c>
      <c r="C7" s="12">
        <v>70.208</v>
      </c>
      <c r="D7" s="12">
        <v>9.752</v>
      </c>
      <c r="E7" s="12">
        <v>5.876</v>
      </c>
      <c r="F7" s="12">
        <v>45303.895</v>
      </c>
    </row>
    <row r="8">
      <c r="A8" s="12">
        <v>1994.0</v>
      </c>
      <c r="B8" s="12">
        <v>0.699</v>
      </c>
      <c r="C8" s="12">
        <v>70.587</v>
      </c>
      <c r="D8" s="12">
        <v>9.994</v>
      </c>
      <c r="E8" s="12">
        <v>5.977</v>
      </c>
      <c r="F8" s="12">
        <v>44264.627</v>
      </c>
    </row>
    <row r="9">
      <c r="A9" s="12">
        <v>1995.0</v>
      </c>
      <c r="B9" s="12">
        <v>0.705</v>
      </c>
      <c r="C9" s="12">
        <v>70.944</v>
      </c>
      <c r="D9" s="12">
        <v>10.243</v>
      </c>
      <c r="E9" s="12">
        <v>6.077</v>
      </c>
      <c r="F9" s="12">
        <v>43134.207</v>
      </c>
    </row>
    <row r="10">
      <c r="A10" s="12">
        <v>1996.0</v>
      </c>
      <c r="B10" s="12">
        <v>0.711</v>
      </c>
      <c r="C10" s="12">
        <v>71.288</v>
      </c>
      <c r="D10" s="12">
        <v>10.497</v>
      </c>
      <c r="E10" s="12">
        <v>6.196</v>
      </c>
      <c r="F10" s="12">
        <v>43082.549</v>
      </c>
    </row>
    <row r="11">
      <c r="A11" s="12">
        <v>1997.0</v>
      </c>
      <c r="B11" s="12">
        <v>0.718</v>
      </c>
      <c r="C11" s="12">
        <v>71.624</v>
      </c>
      <c r="D11" s="12">
        <v>10.758</v>
      </c>
      <c r="E11" s="12">
        <v>6.314</v>
      </c>
      <c r="F11" s="12">
        <v>42404.379</v>
      </c>
    </row>
    <row r="12">
      <c r="A12" s="12">
        <v>1998.0</v>
      </c>
      <c r="B12" s="12">
        <v>0.725</v>
      </c>
      <c r="C12" s="12">
        <v>71.957</v>
      </c>
      <c r="D12" s="12">
        <v>11.026</v>
      </c>
      <c r="E12" s="12">
        <v>6.433</v>
      </c>
      <c r="F12" s="12">
        <v>42492.788</v>
      </c>
    </row>
    <row r="13">
      <c r="A13" s="12">
        <v>1999.0</v>
      </c>
      <c r="B13" s="12">
        <v>0.729</v>
      </c>
      <c r="C13" s="12">
        <v>72.29</v>
      </c>
      <c r="D13" s="12">
        <v>11.3</v>
      </c>
      <c r="E13" s="12">
        <v>6.551</v>
      </c>
      <c r="F13" s="12">
        <v>39848.292</v>
      </c>
    </row>
    <row r="14">
      <c r="A14" s="12">
        <v>2000.0</v>
      </c>
      <c r="B14" s="12">
        <v>0.737</v>
      </c>
      <c r="C14" s="12">
        <v>72.607</v>
      </c>
      <c r="D14" s="12">
        <v>11.581</v>
      </c>
      <c r="E14" s="12">
        <v>6.67</v>
      </c>
      <c r="F14" s="12">
        <v>41039.54</v>
      </c>
    </row>
    <row r="15">
      <c r="A15" s="12">
        <v>2001.0</v>
      </c>
      <c r="B15" s="12">
        <v>0.744</v>
      </c>
      <c r="C15" s="12">
        <v>72.951</v>
      </c>
      <c r="D15" s="12">
        <v>11.869</v>
      </c>
      <c r="E15" s="12">
        <v>6.883</v>
      </c>
      <c r="F15" s="12">
        <v>39554.064</v>
      </c>
    </row>
    <row r="16">
      <c r="A16" s="12">
        <v>2002.0</v>
      </c>
      <c r="B16" s="12">
        <v>0.75</v>
      </c>
      <c r="C16" s="12">
        <v>73.296</v>
      </c>
      <c r="D16" s="12">
        <v>12.164</v>
      </c>
      <c r="E16" s="12">
        <v>7.095</v>
      </c>
      <c r="F16" s="12">
        <v>37525.731</v>
      </c>
    </row>
    <row r="17">
      <c r="A17" s="12">
        <v>2003.0</v>
      </c>
      <c r="B17" s="12">
        <v>0.762</v>
      </c>
      <c r="C17" s="12">
        <v>73.657</v>
      </c>
      <c r="D17" s="12">
        <v>12.466</v>
      </c>
      <c r="E17" s="12">
        <v>7.308</v>
      </c>
      <c r="F17" s="12">
        <v>40793.362</v>
      </c>
    </row>
    <row r="18">
      <c r="A18" s="12">
        <v>2004.0</v>
      </c>
      <c r="B18" s="12">
        <v>0.773</v>
      </c>
      <c r="C18" s="12">
        <v>74.027</v>
      </c>
      <c r="D18" s="12">
        <v>12.776</v>
      </c>
      <c r="E18" s="12">
        <v>7.52</v>
      </c>
      <c r="F18" s="12">
        <v>43088.876</v>
      </c>
    </row>
    <row r="19">
      <c r="A19" s="12">
        <v>2005.0</v>
      </c>
      <c r="B19" s="12">
        <v>0.782</v>
      </c>
      <c r="C19" s="12">
        <v>74.4</v>
      </c>
      <c r="D19" s="12">
        <v>13.094</v>
      </c>
      <c r="E19" s="12">
        <v>7.758</v>
      </c>
      <c r="F19" s="12">
        <v>44118.576</v>
      </c>
    </row>
    <row r="20">
      <c r="A20" s="12">
        <v>2006.0</v>
      </c>
      <c r="B20" s="12">
        <v>0.785</v>
      </c>
      <c r="C20" s="12">
        <v>74.762</v>
      </c>
      <c r="D20" s="12">
        <v>12.9</v>
      </c>
      <c r="E20" s="12">
        <v>7.996</v>
      </c>
      <c r="F20" s="12">
        <v>43588.586</v>
      </c>
    </row>
    <row r="21">
      <c r="A21" s="12">
        <v>2007.0</v>
      </c>
      <c r="B21" s="12">
        <v>0.786</v>
      </c>
      <c r="C21" s="12">
        <v>75.066</v>
      </c>
      <c r="D21" s="12">
        <v>12.707</v>
      </c>
      <c r="E21" s="12">
        <v>8.233</v>
      </c>
      <c r="F21" s="12">
        <v>42683.23</v>
      </c>
    </row>
    <row r="22">
      <c r="A22" s="12">
        <v>2008.0</v>
      </c>
      <c r="B22" s="12">
        <v>0.792</v>
      </c>
      <c r="C22" s="12">
        <v>75.301</v>
      </c>
      <c r="D22" s="12">
        <v>12.762</v>
      </c>
      <c r="E22" s="12">
        <v>8.471</v>
      </c>
      <c r="F22" s="12">
        <v>43636.313</v>
      </c>
    </row>
    <row r="23">
      <c r="A23" s="12">
        <v>2009.0</v>
      </c>
      <c r="B23" s="12">
        <v>0.794</v>
      </c>
      <c r="C23" s="12">
        <v>75.447</v>
      </c>
      <c r="D23" s="12">
        <v>12.818</v>
      </c>
      <c r="E23" s="12">
        <v>8.709</v>
      </c>
      <c r="F23" s="12">
        <v>41167.618</v>
      </c>
    </row>
    <row r="24">
      <c r="A24" s="12">
        <v>2010.0</v>
      </c>
      <c r="B24" s="12">
        <v>0.801</v>
      </c>
      <c r="C24" s="12">
        <v>75.616</v>
      </c>
      <c r="D24" s="12">
        <v>13.014</v>
      </c>
      <c r="E24" s="12">
        <v>8.947</v>
      </c>
      <c r="F24" s="12">
        <v>41877.697</v>
      </c>
    </row>
    <row r="25">
      <c r="A25" s="12">
        <v>2011.0</v>
      </c>
      <c r="B25" s="12">
        <v>0.811</v>
      </c>
      <c r="C25" s="12">
        <v>75.808</v>
      </c>
      <c r="D25" s="12">
        <v>13.21</v>
      </c>
      <c r="E25" s="12">
        <v>9.184</v>
      </c>
      <c r="F25" s="12">
        <v>45342.341</v>
      </c>
    </row>
    <row r="26">
      <c r="A26" s="12">
        <v>2012.0</v>
      </c>
      <c r="B26" s="12">
        <v>0.819</v>
      </c>
      <c r="C26" s="12">
        <v>76.09</v>
      </c>
      <c r="D26" s="12">
        <v>13.406</v>
      </c>
      <c r="E26" s="12">
        <v>9.422</v>
      </c>
      <c r="F26" s="12">
        <v>46754.976</v>
      </c>
    </row>
    <row r="27">
      <c r="A27" s="12">
        <v>2013.0</v>
      </c>
      <c r="B27" s="12">
        <v>0.827</v>
      </c>
      <c r="C27" s="12">
        <v>76.517</v>
      </c>
      <c r="D27" s="12">
        <v>13.602</v>
      </c>
      <c r="E27" s="12">
        <v>9.66</v>
      </c>
      <c r="F27" s="12">
        <v>46933.639</v>
      </c>
    </row>
    <row r="28">
      <c r="A28" s="12">
        <v>2014.0</v>
      </c>
      <c r="B28" s="12">
        <v>0.841</v>
      </c>
      <c r="C28" s="12">
        <v>77.116</v>
      </c>
      <c r="D28" s="12">
        <v>14.398</v>
      </c>
      <c r="E28" s="12">
        <v>9.8</v>
      </c>
      <c r="F28" s="12">
        <v>47747.188</v>
      </c>
    </row>
    <row r="29">
      <c r="A29" s="12">
        <v>2015.0</v>
      </c>
      <c r="B29" s="12">
        <v>0.851</v>
      </c>
      <c r="C29" s="12">
        <v>77.776</v>
      </c>
      <c r="D29" s="12">
        <v>14.769</v>
      </c>
      <c r="E29" s="12">
        <v>9.94</v>
      </c>
      <c r="F29" s="12">
        <v>48948.93</v>
      </c>
    </row>
    <row r="30">
      <c r="A30" s="12">
        <v>2016.0</v>
      </c>
      <c r="B30" s="12">
        <v>0.86</v>
      </c>
      <c r="C30" s="12">
        <v>78.354</v>
      </c>
      <c r="D30" s="12">
        <v>15.14</v>
      </c>
      <c r="E30" s="12">
        <v>10.08</v>
      </c>
      <c r="F30" s="12">
        <v>48876.783</v>
      </c>
    </row>
    <row r="31">
      <c r="A31" s="12">
        <v>2017.0</v>
      </c>
      <c r="B31" s="12">
        <v>0.869</v>
      </c>
      <c r="C31" s="12">
        <v>78.721</v>
      </c>
      <c r="D31" s="12">
        <v>15.725</v>
      </c>
      <c r="E31" s="12">
        <v>10.22</v>
      </c>
      <c r="F31" s="12">
        <v>48201.499</v>
      </c>
    </row>
    <row r="32">
      <c r="A32" s="12">
        <v>2018.0</v>
      </c>
      <c r="B32" s="12">
        <v>0.875</v>
      </c>
      <c r="C32" s="12">
        <v>78.75</v>
      </c>
      <c r="D32" s="12">
        <v>15.856</v>
      </c>
      <c r="E32" s="12">
        <v>10.583</v>
      </c>
      <c r="F32" s="12">
        <v>48571.639</v>
      </c>
    </row>
    <row r="33">
      <c r="A33" s="12">
        <v>2019.0</v>
      </c>
      <c r="B33" s="12">
        <v>0.878</v>
      </c>
      <c r="C33" s="12">
        <v>78.313</v>
      </c>
      <c r="D33" s="12">
        <v>15.983</v>
      </c>
      <c r="E33" s="12">
        <v>10.947</v>
      </c>
      <c r="F33" s="12">
        <v>47995.7</v>
      </c>
    </row>
    <row r="34">
      <c r="A34" s="12">
        <v>2020.0</v>
      </c>
      <c r="B34" s="12">
        <v>0.875</v>
      </c>
      <c r="C34" s="12">
        <v>77.596</v>
      </c>
      <c r="D34" s="12">
        <v>15.76</v>
      </c>
      <c r="E34" s="12">
        <v>11.31</v>
      </c>
      <c r="F34" s="12">
        <v>46058.499</v>
      </c>
    </row>
    <row r="35">
      <c r="A35" s="12">
        <v>2021.0</v>
      </c>
      <c r="B35" s="12">
        <v>0.878</v>
      </c>
      <c r="C35" s="12">
        <v>77.089</v>
      </c>
      <c r="D35" s="12">
        <v>15.769</v>
      </c>
      <c r="E35" s="12">
        <v>11.606</v>
      </c>
      <c r="F35" s="12">
        <v>48458.9</v>
      </c>
    </row>
    <row r="36">
      <c r="A36" s="12">
        <v>2022.0</v>
      </c>
      <c r="B36" s="12">
        <v>0.893</v>
      </c>
      <c r="C36" s="12">
        <v>77.31</v>
      </c>
      <c r="D36" s="12">
        <v>16.949</v>
      </c>
      <c r="E36" s="12">
        <v>11.606</v>
      </c>
      <c r="F36" s="12">
        <v>51430.704</v>
      </c>
    </row>
    <row r="37">
      <c r="A37" s="12">
        <v>2023.0</v>
      </c>
      <c r="B37" s="12">
        <v>0.9</v>
      </c>
      <c r="C37" s="12">
        <v>78.732</v>
      </c>
      <c r="D37" s="12">
        <v>16.949</v>
      </c>
      <c r="E37" s="12">
        <v>11.606</v>
      </c>
      <c r="F37" s="12">
        <v>50298.914</v>
      </c>
    </row>
  </sheetData>
  <mergeCells count="2">
    <mergeCell ref="A1:F1"/>
    <mergeCell ref="A2:F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29.75"/>
    <col customWidth="1" min="5" max="5" width="26.63"/>
    <col customWidth="1" min="6" max="6" width="22.63"/>
  </cols>
  <sheetData>
    <row r="1">
      <c r="A1" s="1" t="s">
        <v>47</v>
      </c>
    </row>
    <row r="2">
      <c r="A2" s="8" t="s">
        <v>1</v>
      </c>
    </row>
    <row r="3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</row>
    <row r="4">
      <c r="A4" s="14">
        <v>1990.0</v>
      </c>
      <c r="B4" s="14">
        <v>0.687</v>
      </c>
      <c r="C4" s="14">
        <v>73.823</v>
      </c>
      <c r="D4" s="14">
        <v>12.602</v>
      </c>
      <c r="E4" s="14">
        <v>8.793</v>
      </c>
      <c r="F4" s="14">
        <v>5591.656</v>
      </c>
    </row>
    <row r="5">
      <c r="A5" s="14">
        <v>1991.0</v>
      </c>
      <c r="B5" s="14">
        <v>0.681</v>
      </c>
      <c r="C5" s="14">
        <v>73.757</v>
      </c>
      <c r="D5" s="14">
        <v>12.527</v>
      </c>
      <c r="E5" s="14">
        <v>8.941</v>
      </c>
      <c r="F5" s="14">
        <v>4967.147</v>
      </c>
    </row>
    <row r="6">
      <c r="A6" s="14">
        <v>1992.0</v>
      </c>
      <c r="B6" s="14">
        <v>0.674</v>
      </c>
      <c r="C6" s="14">
        <v>73.846</v>
      </c>
      <c r="D6" s="14">
        <v>12.37</v>
      </c>
      <c r="E6" s="14">
        <v>9.088</v>
      </c>
      <c r="F6" s="14">
        <v>4381.768</v>
      </c>
    </row>
    <row r="7">
      <c r="A7" s="14">
        <v>1993.0</v>
      </c>
      <c r="B7" s="14">
        <v>0.665</v>
      </c>
      <c r="C7" s="14">
        <v>73.874</v>
      </c>
      <c r="D7" s="14">
        <v>12.275</v>
      </c>
      <c r="E7" s="14">
        <v>9.236</v>
      </c>
      <c r="F7" s="14">
        <v>3708.152</v>
      </c>
    </row>
    <row r="8">
      <c r="A8" s="14">
        <v>1994.0</v>
      </c>
      <c r="B8" s="14">
        <v>0.662</v>
      </c>
      <c r="C8" s="14">
        <v>74.092</v>
      </c>
      <c r="D8" s="14">
        <v>11.703</v>
      </c>
      <c r="E8" s="14">
        <v>9.384</v>
      </c>
      <c r="F8" s="14">
        <v>3717.783</v>
      </c>
    </row>
    <row r="9">
      <c r="A9" s="14">
        <v>1995.0</v>
      </c>
      <c r="B9" s="14">
        <v>0.664</v>
      </c>
      <c r="C9" s="14">
        <v>74.346</v>
      </c>
      <c r="D9" s="14">
        <v>11.525</v>
      </c>
      <c r="E9" s="14">
        <v>9.532</v>
      </c>
      <c r="F9" s="14">
        <v>3770.623</v>
      </c>
    </row>
    <row r="10">
      <c r="A10" s="14">
        <v>1996.0</v>
      </c>
      <c r="B10" s="14">
        <v>0.675</v>
      </c>
      <c r="C10" s="14">
        <v>74.69</v>
      </c>
      <c r="D10" s="14">
        <v>11.971</v>
      </c>
      <c r="E10" s="14">
        <v>9.625</v>
      </c>
      <c r="F10" s="14">
        <v>4063.196</v>
      </c>
    </row>
    <row r="11">
      <c r="A11" s="14">
        <v>1997.0</v>
      </c>
      <c r="B11" s="14">
        <v>0.679</v>
      </c>
      <c r="C11" s="14">
        <v>75.064</v>
      </c>
      <c r="D11" s="14">
        <v>11.959</v>
      </c>
      <c r="E11" s="14">
        <v>9.718</v>
      </c>
      <c r="F11" s="14">
        <v>4165.252</v>
      </c>
    </row>
    <row r="12">
      <c r="A12" s="14">
        <v>1998.0</v>
      </c>
      <c r="B12" s="14">
        <v>0.683</v>
      </c>
      <c r="C12" s="14">
        <v>75.412</v>
      </c>
      <c r="D12" s="14">
        <v>12.096</v>
      </c>
      <c r="E12" s="14">
        <v>9.811</v>
      </c>
      <c r="F12" s="14">
        <v>4164.696</v>
      </c>
    </row>
    <row r="13">
      <c r="A13" s="14">
        <v>1999.0</v>
      </c>
      <c r="B13" s="14">
        <v>0.69</v>
      </c>
      <c r="C13" s="14">
        <v>75.719</v>
      </c>
      <c r="D13" s="14">
        <v>12.233</v>
      </c>
      <c r="E13" s="14">
        <v>9.904</v>
      </c>
      <c r="F13" s="14">
        <v>4404.378</v>
      </c>
    </row>
    <row r="14">
      <c r="A14" s="14">
        <v>2000.0</v>
      </c>
      <c r="B14" s="14">
        <v>0.697</v>
      </c>
      <c r="C14" s="14">
        <v>75.922</v>
      </c>
      <c r="D14" s="14">
        <v>12.445</v>
      </c>
      <c r="E14" s="14">
        <v>9.997</v>
      </c>
      <c r="F14" s="14">
        <v>4638.886</v>
      </c>
    </row>
    <row r="15">
      <c r="A15" s="14">
        <v>2001.0</v>
      </c>
      <c r="B15" s="14">
        <v>0.705</v>
      </c>
      <c r="C15" s="14">
        <v>76.429</v>
      </c>
      <c r="D15" s="14">
        <v>12.719</v>
      </c>
      <c r="E15" s="14">
        <v>10.084</v>
      </c>
      <c r="F15" s="14">
        <v>4793.522</v>
      </c>
    </row>
    <row r="16">
      <c r="A16" s="14">
        <v>2002.0</v>
      </c>
      <c r="B16" s="14">
        <v>0.711</v>
      </c>
      <c r="C16" s="14">
        <v>76.766</v>
      </c>
      <c r="D16" s="14">
        <v>13.051</v>
      </c>
      <c r="E16" s="14">
        <v>10.17</v>
      </c>
      <c r="F16" s="14">
        <v>4851.106</v>
      </c>
    </row>
    <row r="17">
      <c r="A17" s="14">
        <v>2003.0</v>
      </c>
      <c r="B17" s="14">
        <v>0.721</v>
      </c>
      <c r="C17" s="14">
        <v>77.405</v>
      </c>
      <c r="D17" s="14">
        <v>13.449</v>
      </c>
      <c r="E17" s="14">
        <v>10.303</v>
      </c>
      <c r="F17" s="14">
        <v>5018.233</v>
      </c>
    </row>
    <row r="18">
      <c r="A18" s="14">
        <v>2004.0</v>
      </c>
      <c r="B18" s="14">
        <v>0.734</v>
      </c>
      <c r="C18" s="14">
        <v>77.326</v>
      </c>
      <c r="D18" s="14">
        <v>14.388</v>
      </c>
      <c r="E18" s="14">
        <v>10.436</v>
      </c>
      <c r="F18" s="14">
        <v>5286.393</v>
      </c>
    </row>
    <row r="19">
      <c r="A19" s="14">
        <v>2005.0</v>
      </c>
      <c r="B19" s="14">
        <v>0.747</v>
      </c>
      <c r="C19" s="14">
        <v>77.54</v>
      </c>
      <c r="D19" s="14">
        <v>14.809</v>
      </c>
      <c r="E19" s="14">
        <v>10.569</v>
      </c>
      <c r="F19" s="14">
        <v>5878.996</v>
      </c>
    </row>
    <row r="20">
      <c r="A20" s="14">
        <v>2006.0</v>
      </c>
      <c r="B20" s="14">
        <v>0.766</v>
      </c>
      <c r="C20" s="14">
        <v>77.406</v>
      </c>
      <c r="D20" s="14">
        <v>16.061</v>
      </c>
      <c r="E20" s="14">
        <v>10.702</v>
      </c>
      <c r="F20" s="14">
        <v>6599.92</v>
      </c>
    </row>
    <row r="21">
      <c r="A21" s="14">
        <v>2007.0</v>
      </c>
      <c r="B21" s="14">
        <v>0.78</v>
      </c>
      <c r="C21" s="14">
        <v>77.55</v>
      </c>
      <c r="D21" s="14">
        <v>17.04</v>
      </c>
      <c r="E21" s="14">
        <v>10.835</v>
      </c>
      <c r="F21" s="14">
        <v>7040.287</v>
      </c>
    </row>
    <row r="22">
      <c r="A22" s="14">
        <v>2008.0</v>
      </c>
      <c r="B22" s="14">
        <v>0.788</v>
      </c>
      <c r="C22" s="14">
        <v>77.589</v>
      </c>
      <c r="D22" s="14">
        <v>17.524</v>
      </c>
      <c r="E22" s="14">
        <v>10.968</v>
      </c>
      <c r="F22" s="14">
        <v>7320.014</v>
      </c>
    </row>
    <row r="23">
      <c r="A23" s="14">
        <v>2009.0</v>
      </c>
      <c r="B23" s="14">
        <v>0.788</v>
      </c>
      <c r="C23" s="14">
        <v>77.584</v>
      </c>
      <c r="D23" s="14">
        <v>17.296</v>
      </c>
      <c r="E23" s="14">
        <v>11.101</v>
      </c>
      <c r="F23" s="14">
        <v>7355.438</v>
      </c>
    </row>
    <row r="24">
      <c r="A24" s="14">
        <v>2010.0</v>
      </c>
      <c r="B24" s="14">
        <v>0.783</v>
      </c>
      <c r="C24" s="14">
        <v>77.876</v>
      </c>
      <c r="D24" s="14">
        <v>16.27</v>
      </c>
      <c r="E24" s="14">
        <v>11.234</v>
      </c>
      <c r="F24" s="14">
        <v>7561.987</v>
      </c>
    </row>
    <row r="25">
      <c r="A25" s="14">
        <v>2011.0</v>
      </c>
      <c r="B25" s="14">
        <v>0.781</v>
      </c>
      <c r="C25" s="14">
        <v>78.051</v>
      </c>
      <c r="D25" s="14">
        <v>15.498</v>
      </c>
      <c r="E25" s="14">
        <v>11.367</v>
      </c>
      <c r="F25" s="14">
        <v>7825.385</v>
      </c>
    </row>
    <row r="26">
      <c r="A26" s="14">
        <v>2012.0</v>
      </c>
      <c r="B26" s="14">
        <v>0.777</v>
      </c>
      <c r="C26" s="14">
        <v>78.162</v>
      </c>
      <c r="D26" s="14">
        <v>14.615</v>
      </c>
      <c r="E26" s="14">
        <v>11.5</v>
      </c>
      <c r="F26" s="14">
        <v>8075.057</v>
      </c>
    </row>
    <row r="27">
      <c r="A27" s="14">
        <v>2013.0</v>
      </c>
      <c r="B27" s="14">
        <v>0.771</v>
      </c>
      <c r="C27" s="14">
        <v>78.028</v>
      </c>
      <c r="D27" s="14">
        <v>13.988</v>
      </c>
      <c r="E27" s="14">
        <v>11.381</v>
      </c>
      <c r="F27" s="14">
        <v>8314.514</v>
      </c>
    </row>
    <row r="28">
      <c r="A28" s="14">
        <v>2014.0</v>
      </c>
      <c r="B28" s="14">
        <v>0.77</v>
      </c>
      <c r="C28" s="14">
        <v>77.825</v>
      </c>
      <c r="D28" s="14">
        <v>14.05</v>
      </c>
      <c r="E28" s="14">
        <v>11.261</v>
      </c>
      <c r="F28" s="14">
        <v>8401.333</v>
      </c>
    </row>
    <row r="29">
      <c r="A29" s="14">
        <v>2015.0</v>
      </c>
      <c r="B29" s="14">
        <v>0.769</v>
      </c>
      <c r="C29" s="14">
        <v>77.745</v>
      </c>
      <c r="D29" s="14">
        <v>13.858</v>
      </c>
      <c r="E29" s="14">
        <v>11.142</v>
      </c>
      <c r="F29" s="14">
        <v>8784.537</v>
      </c>
    </row>
    <row r="30">
      <c r="A30" s="14">
        <v>2016.0</v>
      </c>
      <c r="B30" s="14">
        <v>0.767</v>
      </c>
      <c r="C30" s="14">
        <v>77.571</v>
      </c>
      <c r="D30" s="14">
        <v>13.864</v>
      </c>
      <c r="E30" s="14">
        <v>11.022</v>
      </c>
      <c r="F30" s="14">
        <v>8826.242</v>
      </c>
    </row>
    <row r="31">
      <c r="A31" s="14">
        <v>2017.0</v>
      </c>
      <c r="B31" s="14">
        <v>0.767</v>
      </c>
      <c r="C31" s="14">
        <v>77.3</v>
      </c>
      <c r="D31" s="14">
        <v>14.066</v>
      </c>
      <c r="E31" s="14">
        <v>10.903</v>
      </c>
      <c r="F31" s="14">
        <v>9000.783</v>
      </c>
    </row>
    <row r="32">
      <c r="A32" s="14">
        <v>2018.0</v>
      </c>
      <c r="B32" s="14">
        <v>0.769</v>
      </c>
      <c r="C32" s="14">
        <v>77.426</v>
      </c>
      <c r="D32" s="14">
        <v>14.201</v>
      </c>
      <c r="E32" s="14">
        <v>10.783</v>
      </c>
      <c r="F32" s="14">
        <v>9213.012</v>
      </c>
    </row>
    <row r="33">
      <c r="A33" s="14">
        <v>2019.0</v>
      </c>
      <c r="B33" s="14">
        <v>0.769</v>
      </c>
      <c r="C33" s="14">
        <v>77.413</v>
      </c>
      <c r="D33" s="14">
        <v>14.349</v>
      </c>
      <c r="E33" s="14">
        <v>10.664</v>
      </c>
      <c r="F33" s="14">
        <v>9182.602</v>
      </c>
    </row>
    <row r="34">
      <c r="A34" s="14">
        <v>2020.0</v>
      </c>
      <c r="B34" s="14">
        <v>0.762</v>
      </c>
      <c r="C34" s="14">
        <v>77.407</v>
      </c>
      <c r="D34" s="14">
        <v>14.426</v>
      </c>
      <c r="E34" s="14">
        <v>10.548</v>
      </c>
      <c r="F34" s="14">
        <v>8210.333</v>
      </c>
    </row>
    <row r="35">
      <c r="A35" s="14">
        <v>2021.0</v>
      </c>
      <c r="B35" s="14">
        <v>0.745</v>
      </c>
      <c r="C35" s="14">
        <v>73.201</v>
      </c>
      <c r="D35" s="14">
        <v>14.469</v>
      </c>
      <c r="E35" s="14">
        <v>10.631</v>
      </c>
      <c r="F35" s="14">
        <v>8353.8</v>
      </c>
    </row>
    <row r="36">
      <c r="A36" s="14">
        <v>2022.0</v>
      </c>
      <c r="B36" s="14">
        <v>0.764</v>
      </c>
      <c r="C36" s="14">
        <v>77.629</v>
      </c>
      <c r="D36" s="14">
        <v>14.174</v>
      </c>
      <c r="E36" s="14">
        <v>10.631</v>
      </c>
      <c r="F36" s="14">
        <v>8549.997</v>
      </c>
    </row>
    <row r="37">
      <c r="A37" s="14">
        <v>2023.0</v>
      </c>
      <c r="B37" s="14">
        <v>0.762</v>
      </c>
      <c r="C37" s="14">
        <v>78.085</v>
      </c>
      <c r="D37" s="14">
        <v>13.879</v>
      </c>
      <c r="E37" s="14">
        <v>10.631</v>
      </c>
      <c r="F37" s="14">
        <v>8415.412</v>
      </c>
    </row>
  </sheetData>
  <mergeCells count="2">
    <mergeCell ref="A1:F1"/>
    <mergeCell ref="A2:F2"/>
  </mergeCells>
  <drawing r:id="rId1"/>
  <tableParts count="1">
    <tablePart r:id="rId3"/>
  </tableParts>
</worksheet>
</file>