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I 2025 Comparison" sheetId="1" r:id="rId5"/>
    <sheet state="visible" name="Data Sources" sheetId="2" r:id="rId6"/>
    <sheet state="visible" name="Country Maps" sheetId="3" r:id="rId7"/>
    <sheet state="visible" name="Saudi Arabia Map" sheetId="4" r:id="rId8"/>
    <sheet state="visible" name="Cuba Map" sheetId="5" r:id="rId9"/>
    <sheet state="visible" name="DRC Map" sheetId="6" r:id="rId10"/>
    <sheet state="visible" name="FSI 2024 Comparison" sheetId="7" r:id="rId11"/>
    <sheet state="visible" name="GTI 2024 Comparison" sheetId="8" r:id="rId12"/>
    <sheet state="visible" name="Chart2" sheetId="9" r:id="rId13"/>
    <sheet state="visible" name="PPI 2022 Comparison" sheetId="10" r:id="rId14"/>
  </sheets>
  <definedNames/>
  <calcPr/>
</workbook>
</file>

<file path=xl/sharedStrings.xml><?xml version="1.0" encoding="utf-8"?>
<sst xmlns="http://schemas.openxmlformats.org/spreadsheetml/2006/main" count="220" uniqueCount="161">
  <si>
    <t>Global Peace Index (GPI) 2025 - Comparative Dataset: DRC, Saudi Arabia, Cuba</t>
  </si>
  <si>
    <t>Source: Vision of Humanity (visionofhumanity.org) | Institute for Economics &amp; Peace (IEP) | Data as of 2025</t>
  </si>
  <si>
    <t>Indicator</t>
  </si>
  <si>
    <t>DRC (Dem. Rep. Congo)</t>
  </si>
  <si>
    <t>Saudi Arabia</t>
  </si>
  <si>
    <t>Cuba</t>
  </si>
  <si>
    <t>DRC</t>
  </si>
  <si>
    <t>Overall Score</t>
  </si>
  <si>
    <t>Criminality</t>
  </si>
  <si>
    <t>Country Ranking (out of 163)</t>
  </si>
  <si>
    <t>Police Rate</t>
  </si>
  <si>
    <t>Overall Indicator (/5)</t>
  </si>
  <si>
    <t>Homicide</t>
  </si>
  <si>
    <t>DOMAIN SCORES</t>
  </si>
  <si>
    <t>Incarceration</t>
  </si>
  <si>
    <t>Safety &amp; Security (/5)</t>
  </si>
  <si>
    <t>Small Arms</t>
  </si>
  <si>
    <t>Domestic &amp; International Conflict (/5)</t>
  </si>
  <si>
    <t>Internal Conflict</t>
  </si>
  <si>
    <t>Militarisation (/5)</t>
  </si>
  <si>
    <t>Violent Demos</t>
  </si>
  <si>
    <t>INDIVIDUAL INDICATORS (Safety &amp; Security)</t>
  </si>
  <si>
    <t>Violent Crime</t>
  </si>
  <si>
    <t>Perceptions of Criminality (/5)</t>
  </si>
  <si>
    <t>Political Instab.</t>
  </si>
  <si>
    <t>Police Rate (/5)</t>
  </si>
  <si>
    <t>Political Terror</t>
  </si>
  <si>
    <t>Homicide Rate (/5)</t>
  </si>
  <si>
    <t>Incarceration Rate (/5)</t>
  </si>
  <si>
    <t>Access to Small Arms (/5)</t>
  </si>
  <si>
    <t>Intensity of Internal Conflict (/5)</t>
  </si>
  <si>
    <t>Weapons Imports</t>
  </si>
  <si>
    <t>Violent Demonstrations (/5)</t>
  </si>
  <si>
    <t>Terrorism Impact</t>
  </si>
  <si>
    <t>Violent Crime (/5)</t>
  </si>
  <si>
    <t>Int. Conflict Deaths</t>
  </si>
  <si>
    <t>Political Instability (/5)</t>
  </si>
  <si>
    <t>Refugees/IDPs</t>
  </si>
  <si>
    <t>Political Terror Scale (/5)</t>
  </si>
  <si>
    <t>Neighbour Relations</t>
  </si>
  <si>
    <t>INDIVIDUAL INDICATORS (Domestic &amp; International Conflict)</t>
  </si>
  <si>
    <t>Ext. Conflict Deaths</t>
  </si>
  <si>
    <t>Weapons Imports (/5)</t>
  </si>
  <si>
    <t>Ext. Conflicts</t>
  </si>
  <si>
    <t>Terrorism Impact (/5)</t>
  </si>
  <si>
    <t>Int. Conflicts</t>
  </si>
  <si>
    <t>Deaths from Internal Conflict (/5)</t>
  </si>
  <si>
    <t>Refugees and IDPs (/5)</t>
  </si>
  <si>
    <t>Neighbouring Countries Relations (/5)</t>
  </si>
  <si>
    <t>Deaths from External Conflict (/5)</t>
  </si>
  <si>
    <t>Military Expend.</t>
  </si>
  <si>
    <t>External Conflicts Fought (/5)</t>
  </si>
  <si>
    <t>Armed Personnel</t>
  </si>
  <si>
    <t>Internal Conflicts Fought (/5)</t>
  </si>
  <si>
    <t>UN Peacekeeping</t>
  </si>
  <si>
    <t>INDIVIDUAL INDICATORS (Militarisation)</t>
  </si>
  <si>
    <t>Heavy Weapons</t>
  </si>
  <si>
    <t>Military Expenditure (% GDP) (/5)</t>
  </si>
  <si>
    <t>Weapons Exports</t>
  </si>
  <si>
    <t>Armed Services Personnel Rate (/5)</t>
  </si>
  <si>
    <t>UN Peacekeeping Funding (/5)</t>
  </si>
  <si>
    <t>Nuclear and Heavy Weapons (/5)</t>
  </si>
  <si>
    <t>Weapons Exports (/5)</t>
  </si>
  <si>
    <t>Data Sources &amp; References</t>
  </si>
  <si>
    <t>Sheet Name</t>
  </si>
  <si>
    <t>Dataset</t>
  </si>
  <si>
    <t>Organization</t>
  </si>
  <si>
    <t>Data Year</t>
  </si>
  <si>
    <t>Main URL</t>
  </si>
  <si>
    <t>Report/Download URL</t>
  </si>
  <si>
    <t>GPI 2025 Comparison</t>
  </si>
  <si>
    <t>Global Peace Index (GPI)</t>
  </si>
  <si>
    <t>Institute for Economics &amp; Peace (IEP)</t>
  </si>
  <si>
    <t>https://www.visionofhumanity.org/maps/</t>
  </si>
  <si>
    <t>https://www.economicsandpeace.org/global-peace-index/</t>
  </si>
  <si>
    <t>FSI 2024 Comparison</t>
  </si>
  <si>
    <t>Fragile States Index (FSI)</t>
  </si>
  <si>
    <t>The Fund for Peace</t>
  </si>
  <si>
    <t>https://fragilestatesindex.org/</t>
  </si>
  <si>
    <t>https://fragilestatesindex.org/global-data/</t>
  </si>
  <si>
    <t>GTI 2024 Comparison</t>
  </si>
  <si>
    <t>Global Terrorism Index (GTI)</t>
  </si>
  <si>
    <t>https://www.visionofhumanity.org/maps/global-terrorism-index/</t>
  </si>
  <si>
    <t>https://www.economicsandpeace.org/global-terrorism-index/</t>
  </si>
  <si>
    <t>PPI 2022 Comparison</t>
  </si>
  <si>
    <t>Positive Peace Index (PPI)</t>
  </si>
  <si>
    <t>https://www.visionofhumanity.org/maps/positive-peace-index/</t>
  </si>
  <si>
    <t>https://www.visionofhumanity.org/wp-content/uploads/2022/01/PPR-2022-web.pdf</t>
  </si>
  <si>
    <t>Country</t>
  </si>
  <si>
    <t>Value</t>
  </si>
  <si>
    <t>Dem. Rep. Congo</t>
  </si>
  <si>
    <t>Fragile States Index (FSI) 2024 - Comparative Dataset: DRC, Saudi Arabia, Cuba</t>
  </si>
  <si>
    <t>Source: Fund for Peace (fragilestatesindex.org) | Data Year: 2024</t>
  </si>
  <si>
    <t>FSI Total Score (out of 120)</t>
  </si>
  <si>
    <t>Country Ranking (out of 179)</t>
  </si>
  <si>
    <t>5th</t>
  </si>
  <si>
    <t>103rd</t>
  </si>
  <si>
    <t>112th</t>
  </si>
  <si>
    <t>Points Change from Last Year</t>
  </si>
  <si>
    <t>Points Change Over Five Years</t>
  </si>
  <si>
    <t>Points Change Over Ten Years</t>
  </si>
  <si>
    <t>INDIVIDUAL INDICATORS (Cohesion)</t>
  </si>
  <si>
    <t>C1: Security Apparatus (/10)</t>
  </si>
  <si>
    <t>C2: Factionalized Elites (/10)</t>
  </si>
  <si>
    <t>C3: Group Grievance (/10)</t>
  </si>
  <si>
    <t>INDIVIDUAL INDICATORS (Economic)</t>
  </si>
  <si>
    <t>E1: Economic Decline (/10)</t>
  </si>
  <si>
    <t>E2: Uneven Economic Development (/10)</t>
  </si>
  <si>
    <t>E3: Human Flight and Brain Drain (/10)</t>
  </si>
  <si>
    <t>INDIVIDUAL INDICATORS (Political)</t>
  </si>
  <si>
    <t>P1: State Legitimacy (/10)</t>
  </si>
  <si>
    <t>P2: Public Services (/10)</t>
  </si>
  <si>
    <t>P3: Human Rights and Rule of Law (/10)</t>
  </si>
  <si>
    <t>INDIVIDUAL INDICATORS (Social)</t>
  </si>
  <si>
    <t>S1: Demographic Pressures (/10)</t>
  </si>
  <si>
    <t>S2: Refugees and IDPs (/10)</t>
  </si>
  <si>
    <t>INDIVIDUAL INDICATORS (Cross-Cutting)</t>
  </si>
  <si>
    <t>X1: External Intervention (/10)</t>
  </si>
  <si>
    <t>Security Apparatus</t>
  </si>
  <si>
    <t>Factionalized Elites</t>
  </si>
  <si>
    <t>Group Grievance</t>
  </si>
  <si>
    <t>Economic Decline</t>
  </si>
  <si>
    <t>Uneven Econ. Dev.</t>
  </si>
  <si>
    <t>Human Flight &amp; Brain Drain</t>
  </si>
  <si>
    <t>State Legitimacy</t>
  </si>
  <si>
    <t>Public Services</t>
  </si>
  <si>
    <t>Human Rights &amp; Rule of Law</t>
  </si>
  <si>
    <t>Demographic Pressures</t>
  </si>
  <si>
    <t>Refugees and IDPs</t>
  </si>
  <si>
    <t>External Intervention</t>
  </si>
  <si>
    <t>Global Terrorism Index (GTI) 2024 - Comparative Dataset: DRC, Saudi Arabia, Cuba</t>
  </si>
  <si>
    <t>Terrorism Index</t>
  </si>
  <si>
    <t>Source: Vision of Humanity (visionofhumanity.org) | Institute for Economics &amp; Peace (IEP) | Data Year: 2024</t>
  </si>
  <si>
    <t>No impact of terrorism</t>
  </si>
  <si>
    <t>N/A</t>
  </si>
  <si>
    <t>Terrorism Index (/10)</t>
  </si>
  <si>
    <t>Incidents</t>
  </si>
  <si>
    <t>Fatalities</t>
  </si>
  <si>
    <t>Injuries</t>
  </si>
  <si>
    <t>Hostages</t>
  </si>
  <si>
    <t>Positive Peace Index (PPI) 2022 - Comparative Dataset: DRC, Saudi Arabia, Cuba</t>
  </si>
  <si>
    <t>Source: Vision of Humanity (visionofhumanity.org) | Institute for Economics &amp; Peace (IEP) | Data Year: 2022</t>
  </si>
  <si>
    <t>PPI Overall Score (/5)</t>
  </si>
  <si>
    <t>PILLAR SCORES</t>
  </si>
  <si>
    <t>Pillar</t>
  </si>
  <si>
    <t>Acceptance of the Rights of Others (/5)</t>
  </si>
  <si>
    <t>Rights Acceptance</t>
  </si>
  <si>
    <t>Equitable Distribution of Resources (/5)</t>
  </si>
  <si>
    <t>Equitable Resources</t>
  </si>
  <si>
    <t>Free Flow of Information (/5)</t>
  </si>
  <si>
    <t>Free Info Flow</t>
  </si>
  <si>
    <t>Good Relations with Neighbours (/5)</t>
  </si>
  <si>
    <t>Good Neighbours</t>
  </si>
  <si>
    <t>High Levels of Human Capital (/5)</t>
  </si>
  <si>
    <t>Human Capital</t>
  </si>
  <si>
    <t>Low Levels of Corruption (/5)</t>
  </si>
  <si>
    <t>Low Corruption</t>
  </si>
  <si>
    <t>Sound Business Environment (/5)</t>
  </si>
  <si>
    <t>Business Env.</t>
  </si>
  <si>
    <t>Well-Functioning Government (/5)</t>
  </si>
  <si>
    <t>Good Government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</si>
</sst>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b/>
      <color rgb="FF434343"/>
      <name val="Arial"/>
      <scheme val="minor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3" fontId="2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5" fontId="2" numFmtId="0" xfId="0" applyFont="1"/>
    <xf borderId="0" fillId="6" fontId="7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7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chartsheet" Target="chartsheets/sheet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GPI 2025: Safety &amp; Security - Radar Comparison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'GPI 2025 Comparison'!$G$3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'GPI 2025 Comparison'!$F$4:$F$13</c:f>
            </c:strRef>
          </c:cat>
          <c:val>
            <c:numRef>
              <c:f>'GPI 2025 Comparison'!$G$4:$G$13</c:f>
              <c:numCache/>
            </c:numRef>
          </c:val>
          <c:smooth val="1"/>
        </c:ser>
        <c:ser>
          <c:idx val="1"/>
          <c:order val="1"/>
          <c:tx>
            <c:strRef>
              <c:f>'GPI 2025 Comparison'!$H$3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'GPI 2025 Comparison'!$F$4:$F$13</c:f>
            </c:strRef>
          </c:cat>
          <c:val>
            <c:numRef>
              <c:f>'GPI 2025 Comparison'!$H$4:$H$13</c:f>
              <c:numCache/>
            </c:numRef>
          </c:val>
          <c:smooth val="1"/>
        </c:ser>
        <c:ser>
          <c:idx val="2"/>
          <c:order val="2"/>
          <c:tx>
            <c:strRef>
              <c:f>'GPI 2025 Comparison'!$I$3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'GPI 2025 Comparison'!$F$4:$F$13</c:f>
            </c:strRef>
          </c:cat>
          <c:val>
            <c:numRef>
              <c:f>'GPI 2025 Comparison'!$I$4:$I$13</c:f>
              <c:numCache/>
            </c:numRef>
          </c:val>
          <c:smooth val="1"/>
        </c:ser>
        <c:axId val="67808905"/>
        <c:axId val="125508217"/>
      </c:radarChart>
      <c:catAx>
        <c:axId val="67808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08217"/>
      </c:catAx>
      <c:valAx>
        <c:axId val="125508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08905"/>
      </c:valAx>
    </c:plotArea>
    <c:legend>
      <c:legendPos val="r"/>
      <c:layout>
        <c:manualLayout>
          <c:xMode val="edge"/>
          <c:yMode val="edge"/>
          <c:x val="0.37550130208333343"/>
          <c:y val="0.125112309074573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GPI 2025: Domestic &amp; Int'l Conflict - Radar Comparison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'GPI 2025 Comparison'!$G$16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'GPI 2025 Comparison'!$F$17:$F$24</c:f>
            </c:strRef>
          </c:cat>
          <c:val>
            <c:numRef>
              <c:f>'GPI 2025 Comparison'!$G$17:$G$24</c:f>
              <c:numCache/>
            </c:numRef>
          </c:val>
          <c:smooth val="1"/>
        </c:ser>
        <c:ser>
          <c:idx val="1"/>
          <c:order val="1"/>
          <c:tx>
            <c:strRef>
              <c:f>'GPI 2025 Comparison'!$H$16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'GPI 2025 Comparison'!$F$17:$F$24</c:f>
            </c:strRef>
          </c:cat>
          <c:val>
            <c:numRef>
              <c:f>'GPI 2025 Comparison'!$H$17:$H$24</c:f>
              <c:numCache/>
            </c:numRef>
          </c:val>
          <c:smooth val="1"/>
        </c:ser>
        <c:ser>
          <c:idx val="2"/>
          <c:order val="2"/>
          <c:tx>
            <c:strRef>
              <c:f>'GPI 2025 Comparison'!$I$16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'GPI 2025 Comparison'!$F$17:$F$24</c:f>
            </c:strRef>
          </c:cat>
          <c:val>
            <c:numRef>
              <c:f>'GPI 2025 Comparison'!$I$17:$I$24</c:f>
              <c:numCache/>
            </c:numRef>
          </c:val>
          <c:smooth val="1"/>
        </c:ser>
        <c:axId val="1777659580"/>
        <c:axId val="1289642399"/>
      </c:radarChart>
      <c:catAx>
        <c:axId val="1777659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642399"/>
      </c:catAx>
      <c:valAx>
        <c:axId val="1289642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659580"/>
      </c:valAx>
    </c:plotArea>
    <c:legend>
      <c:legendPos val="r"/>
      <c:layout>
        <c:manualLayout>
          <c:xMode val="edge"/>
          <c:yMode val="edge"/>
          <c:x val="0.4805013020833334"/>
          <c:y val="0.1305031446540880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GPI 2025: Militarisation - Radar Comparison</a:t>
            </a:r>
          </a:p>
        </c:rich>
      </c:tx>
      <c:overlay val="0"/>
    </c:title>
    <c:plotArea>
      <c:layout>
        <c:manualLayout>
          <c:xMode val="edge"/>
          <c:yMode val="edge"/>
          <c:x val="0.030952380952380936"/>
          <c:y val="0.24592074592074592"/>
          <c:w val="0.9654401154401153"/>
          <c:h val="0.7040792540792542"/>
        </c:manualLayout>
      </c:layout>
      <c:radarChart>
        <c:radarStyle val="marker"/>
        <c:ser>
          <c:idx val="0"/>
          <c:order val="0"/>
          <c:tx>
            <c:strRef>
              <c:f>'GPI 2025 Comparison'!$G$27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'GPI 2025 Comparison'!$F$28:$F$32</c:f>
            </c:strRef>
          </c:cat>
          <c:val>
            <c:numRef>
              <c:f>'GPI 2025 Comparison'!$G$28:$G$32</c:f>
              <c:numCache/>
            </c:numRef>
          </c:val>
          <c:smooth val="1"/>
        </c:ser>
        <c:ser>
          <c:idx val="1"/>
          <c:order val="1"/>
          <c:tx>
            <c:strRef>
              <c:f>'GPI 2025 Comparison'!$H$27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'GPI 2025 Comparison'!$F$28:$F$32</c:f>
            </c:strRef>
          </c:cat>
          <c:val>
            <c:numRef>
              <c:f>'GPI 2025 Comparison'!$H$28:$H$32</c:f>
              <c:numCache/>
            </c:numRef>
          </c:val>
          <c:smooth val="1"/>
        </c:ser>
        <c:ser>
          <c:idx val="2"/>
          <c:order val="2"/>
          <c:tx>
            <c:strRef>
              <c:f>'GPI 2025 Comparison'!$I$27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'GPI 2025 Comparison'!$F$28:$F$32</c:f>
            </c:strRef>
          </c:cat>
          <c:val>
            <c:numRef>
              <c:f>'GPI 2025 Comparison'!$I$28:$I$32</c:f>
              <c:numCache/>
            </c:numRef>
          </c:val>
          <c:smooth val="1"/>
        </c:ser>
        <c:axId val="588959044"/>
        <c:axId val="521523710"/>
      </c:radarChart>
      <c:catAx>
        <c:axId val="588959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523710"/>
      </c:catAx>
      <c:valAx>
        <c:axId val="521523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959044"/>
      </c:valAx>
    </c:plotArea>
    <c:legend>
      <c:legendPos val="r"/>
      <c:layout>
        <c:manualLayout>
          <c:xMode val="edge"/>
          <c:yMode val="edge"/>
          <c:x val="0.42319737554112546"/>
          <c:y val="0.1217948717948717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Fragile States Index (FSI) 2024 - Radar Comparison</a:t>
            </a:r>
          </a:p>
        </c:rich>
      </c:tx>
      <c:overlay val="0"/>
    </c:title>
    <c:plotArea>
      <c:layout>
        <c:manualLayout>
          <c:xMode val="edge"/>
          <c:yMode val="edge"/>
          <c:x val="0.03713850837138505"/>
          <c:y val="0.26536885245901637"/>
          <c:w val="0.9225266362252664"/>
          <c:h val="0.6846311475409836"/>
        </c:manualLayout>
      </c:layout>
      <c:radarChart>
        <c:radarStyle val="marker"/>
        <c:ser>
          <c:idx val="0"/>
          <c:order val="0"/>
          <c:tx>
            <c:strRef>
              <c:f>'FSI 2024 Comparison'!$F$28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'FSI 2024 Comparison'!$E$29:$E$40</c:f>
            </c:strRef>
          </c:cat>
          <c:val>
            <c:numRef>
              <c:f>'FSI 2024 Comparison'!$F$29:$F$40</c:f>
              <c:numCache/>
            </c:numRef>
          </c:val>
          <c:smooth val="1"/>
        </c:ser>
        <c:ser>
          <c:idx val="1"/>
          <c:order val="1"/>
          <c:tx>
            <c:strRef>
              <c:f>'FSI 2024 Comparison'!$G$28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'FSI 2024 Comparison'!$E$29:$E$40</c:f>
            </c:strRef>
          </c:cat>
          <c:val>
            <c:numRef>
              <c:f>'FSI 2024 Comparison'!$G$29:$G$40</c:f>
              <c:numCache/>
            </c:numRef>
          </c:val>
          <c:smooth val="1"/>
        </c:ser>
        <c:ser>
          <c:idx val="2"/>
          <c:order val="2"/>
          <c:tx>
            <c:strRef>
              <c:f>'FSI 2024 Comparison'!$H$28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'FSI 2024 Comparison'!$E$29:$E$40</c:f>
            </c:strRef>
          </c:cat>
          <c:val>
            <c:numRef>
              <c:f>'FSI 2024 Comparison'!$H$29:$H$40</c:f>
              <c:numCache/>
            </c:numRef>
          </c:val>
          <c:smooth val="1"/>
        </c:ser>
        <c:axId val="763587805"/>
        <c:axId val="49375666"/>
      </c:radarChart>
      <c:catAx>
        <c:axId val="763587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75666"/>
      </c:catAx>
      <c:valAx>
        <c:axId val="49375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587805"/>
      </c:valAx>
    </c:plotArea>
    <c:legend>
      <c:legendPos val="r"/>
      <c:layout>
        <c:manualLayout>
          <c:xMode val="edge"/>
          <c:yMode val="edge"/>
          <c:x val="0.6457828850361492"/>
          <c:y val="0.1094258612817226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Terrorism Index (GTI) 2024 - Score Comparison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'GTI 2024 Comparison'!$G$1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'GTI 2024 Comparison'!$F$2:$F$4</c:f>
            </c:strRef>
          </c:cat>
          <c:val>
            <c:numRef>
              <c:f>'GTI 2024 Comparison'!$G$2:$G$4</c:f>
              <c:numCache/>
            </c:numRef>
          </c:val>
        </c:ser>
        <c:axId val="1266664923"/>
        <c:axId val="336845216"/>
      </c:barChart>
      <c:catAx>
        <c:axId val="12666649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845216"/>
      </c:catAx>
      <c:valAx>
        <c:axId val="3368452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Terrorism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6649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GTI 2024 - Terrorism Impact Statistics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'GTI 2024 Comparison'!$G$7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'GTI 2024 Comparison'!$F$8:$F$10</c:f>
            </c:strRef>
          </c:cat>
          <c:val>
            <c:numRef>
              <c:f>'GTI 2024 Comparison'!$G$8:$G$10</c:f>
              <c:numCache/>
            </c:numRef>
          </c:val>
        </c:ser>
        <c:ser>
          <c:idx val="1"/>
          <c:order val="1"/>
          <c:tx>
            <c:strRef>
              <c:f>'GTI 2024 Comparison'!$H$7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'GTI 2024 Comparison'!$F$8:$F$10</c:f>
            </c:strRef>
          </c:cat>
          <c:val>
            <c:numRef>
              <c:f>'GTI 2024 Comparison'!$H$8:$H$10</c:f>
              <c:numCache/>
            </c:numRef>
          </c:val>
        </c:ser>
        <c:ser>
          <c:idx val="2"/>
          <c:order val="2"/>
          <c:tx>
            <c:strRef>
              <c:f>'GTI 2024 Comparison'!$I$7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'GTI 2024 Comparison'!$F$8:$F$10</c:f>
            </c:strRef>
          </c:cat>
          <c:val>
            <c:numRef>
              <c:f>'GTI 2024 Comparison'!$I$8:$I$10</c:f>
              <c:numCache/>
            </c:numRef>
          </c:val>
        </c:ser>
        <c:ser>
          <c:idx val="3"/>
          <c:order val="3"/>
          <c:tx>
            <c:strRef>
              <c:f>'GTI 2024 Comparison'!$J$7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'GTI 2024 Comparison'!$F$8:$F$10</c:f>
            </c:strRef>
          </c:cat>
          <c:val>
            <c:numRef>
              <c:f>'GTI 2024 Comparison'!$J$8:$J$10</c:f>
              <c:numCache/>
            </c:numRef>
          </c:val>
        </c:ser>
        <c:axId val="1491081538"/>
        <c:axId val="222884990"/>
      </c:barChart>
      <c:catAx>
        <c:axId val="1491081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884990"/>
      </c:catAx>
      <c:valAx>
        <c:axId val="222884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081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Positive Peace Index (PPI) 2022 - Radar Comparison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27060427988355135"/>
          <c:w val="0.9249166666666667"/>
          <c:h val="0.6793957201164486"/>
        </c:manualLayout>
      </c:layout>
      <c:radarChart>
        <c:radarStyle val="marker"/>
        <c:ser>
          <c:idx val="0"/>
          <c:order val="0"/>
          <c:tx>
            <c:strRef>
              <c:f>'PPI 2022 Comparison'!$F$7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'PPI 2022 Comparison'!$E$8:$E$15</c:f>
            </c:strRef>
          </c:cat>
          <c:val>
            <c:numRef>
              <c:f>'PPI 2022 Comparison'!$F$8:$F$15</c:f>
              <c:numCache/>
            </c:numRef>
          </c:val>
          <c:smooth val="1"/>
        </c:ser>
        <c:ser>
          <c:idx val="1"/>
          <c:order val="1"/>
          <c:tx>
            <c:strRef>
              <c:f>'PPI 2022 Comparison'!$G$7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'PPI 2022 Comparison'!$E$8:$E$15</c:f>
            </c:strRef>
          </c:cat>
          <c:val>
            <c:numRef>
              <c:f>'PPI 2022 Comparison'!$G$8:$G$15</c:f>
              <c:numCache/>
            </c:numRef>
          </c:val>
          <c:smooth val="1"/>
        </c:ser>
        <c:ser>
          <c:idx val="2"/>
          <c:order val="2"/>
          <c:tx>
            <c:strRef>
              <c:f>'PPI 2022 Comparison'!$H$7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'PPI 2022 Comparison'!$E$8:$E$15</c:f>
            </c:strRef>
          </c:cat>
          <c:val>
            <c:numRef>
              <c:f>'PPI 2022 Comparison'!$H$8:$H$15</c:f>
              <c:numCache/>
            </c:numRef>
          </c:val>
          <c:smooth val="1"/>
        </c:ser>
        <c:axId val="1457626534"/>
        <c:axId val="962285776"/>
      </c:radarChart>
      <c:catAx>
        <c:axId val="1457626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285776"/>
      </c:catAx>
      <c:valAx>
        <c:axId val="962285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626534"/>
      </c:valAx>
    </c:plotArea>
    <c:legend>
      <c:legendPos val="r"/>
      <c:layout>
        <c:manualLayout>
          <c:xMode val="edge"/>
          <c:yMode val="edge"/>
          <c:x val="0.615"/>
          <c:y val="0.113064608347627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8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276225</xdr:colOff>
      <xdr:row>12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</xdr:colOff>
      <xdr:row>11</xdr:row>
      <xdr:rowOff>161925</xdr:rowOff>
    </xdr:from>
    <xdr:ext cx="6600825" cy="4086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66033595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09695522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04704537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11</xdr:row>
      <xdr:rowOff>38100</xdr:rowOff>
    </xdr:from>
    <xdr:ext cx="6257925" cy="4648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2</xdr:row>
      <xdr:rowOff>133350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1323975</xdr:colOff>
      <xdr:row>1</xdr:row>
      <xdr:rowOff>0</xdr:rowOff>
    </xdr:from>
    <xdr:ext cx="5715000" cy="4400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sionofhumanity.org/maps/" TargetMode="External"/><Relationship Id="rId2" Type="http://schemas.openxmlformats.org/officeDocument/2006/relationships/hyperlink" Target="https://www.economicsandpeace.org/global-peace-index/" TargetMode="External"/><Relationship Id="rId3" Type="http://schemas.openxmlformats.org/officeDocument/2006/relationships/hyperlink" Target="https://fragilestatesindex.org/" TargetMode="External"/><Relationship Id="rId4" Type="http://schemas.openxmlformats.org/officeDocument/2006/relationships/hyperlink" Target="https://fragilestatesindex.org/global-data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visionofhumanity.org/maps/global-terrorism-index/" TargetMode="External"/><Relationship Id="rId6" Type="http://schemas.openxmlformats.org/officeDocument/2006/relationships/hyperlink" Target="https://www.economicsandpeace.org/global-terrorism-index/" TargetMode="External"/><Relationship Id="rId7" Type="http://schemas.openxmlformats.org/officeDocument/2006/relationships/hyperlink" Target="https://www.visionofhumanity.org/maps/positive-peace-index/" TargetMode="External"/><Relationship Id="rId8" Type="http://schemas.openxmlformats.org/officeDocument/2006/relationships/hyperlink" Target="https://www.visionofhumanity.org/wp-content/uploads/2022/01/PPR-2022-web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1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F3" s="2" t="s">
        <v>2</v>
      </c>
      <c r="G3" s="2" t="s">
        <v>6</v>
      </c>
      <c r="H3" s="2" t="s">
        <v>4</v>
      </c>
      <c r="I3" s="2" t="s">
        <v>5</v>
      </c>
    </row>
    <row r="4">
      <c r="A4" s="4" t="s">
        <v>7</v>
      </c>
      <c r="B4" s="2">
        <v>3.29</v>
      </c>
      <c r="C4" s="2">
        <v>2.04</v>
      </c>
      <c r="D4" s="2">
        <v>2.12</v>
      </c>
      <c r="F4" s="2" t="s">
        <v>8</v>
      </c>
      <c r="G4" s="5">
        <f t="shared" ref="G4:I4" si="1">B12</f>
        <v>3.6</v>
      </c>
      <c r="H4" s="5">
        <f t="shared" si="1"/>
        <v>1.35</v>
      </c>
      <c r="I4" s="5">
        <f t="shared" si="1"/>
        <v>2.885</v>
      </c>
    </row>
    <row r="5">
      <c r="A5" s="4" t="s">
        <v>9</v>
      </c>
      <c r="B5" s="2">
        <v>160.0</v>
      </c>
      <c r="C5" s="2">
        <v>90.0</v>
      </c>
      <c r="D5" s="2">
        <v>102.0</v>
      </c>
      <c r="F5" s="2" t="s">
        <v>10</v>
      </c>
      <c r="G5" s="5">
        <f t="shared" ref="G5:I5" si="2">B13</f>
        <v>1.5</v>
      </c>
      <c r="H5" s="5">
        <f t="shared" si="2"/>
        <v>4.5</v>
      </c>
      <c r="I5" s="5">
        <f t="shared" si="2"/>
        <v>4.5</v>
      </c>
    </row>
    <row r="6">
      <c r="A6" s="4" t="s">
        <v>11</v>
      </c>
      <c r="B6" s="2">
        <v>3.292</v>
      </c>
      <c r="C6" s="2">
        <v>2.035</v>
      </c>
      <c r="D6" s="2">
        <v>2.123</v>
      </c>
      <c r="F6" s="2" t="s">
        <v>12</v>
      </c>
      <c r="G6" s="5">
        <f t="shared" ref="G6:I6" si="3">B14</f>
        <v>4.25</v>
      </c>
      <c r="H6" s="5">
        <f t="shared" si="3"/>
        <v>1.429</v>
      </c>
      <c r="I6" s="5">
        <f t="shared" si="3"/>
        <v>2.634</v>
      </c>
    </row>
    <row r="7">
      <c r="A7" s="6" t="s">
        <v>13</v>
      </c>
      <c r="B7" s="7"/>
      <c r="C7" s="7"/>
      <c r="D7" s="7"/>
      <c r="F7" s="2" t="s">
        <v>14</v>
      </c>
      <c r="G7" s="5">
        <f t="shared" ref="G7:I7" si="4">B15</f>
        <v>1.365</v>
      </c>
      <c r="H7" s="5">
        <f t="shared" si="4"/>
        <v>2.643</v>
      </c>
      <c r="I7" s="5">
        <f t="shared" si="4"/>
        <v>5</v>
      </c>
    </row>
    <row r="8">
      <c r="A8" s="2" t="s">
        <v>15</v>
      </c>
      <c r="B8" s="2">
        <v>3.713</v>
      </c>
      <c r="C8" s="2">
        <v>2.041</v>
      </c>
      <c r="D8" s="2">
        <v>2.697</v>
      </c>
      <c r="F8" s="2" t="s">
        <v>16</v>
      </c>
      <c r="G8" s="5">
        <f t="shared" ref="G8:I8" si="5">B16</f>
        <v>5</v>
      </c>
      <c r="H8" s="5">
        <f t="shared" si="5"/>
        <v>3</v>
      </c>
      <c r="I8" s="5">
        <f t="shared" si="5"/>
        <v>2</v>
      </c>
    </row>
    <row r="9">
      <c r="A9" s="2" t="s">
        <v>17</v>
      </c>
      <c r="B9" s="2">
        <v>3.647</v>
      </c>
      <c r="C9" s="2">
        <v>1.497</v>
      </c>
      <c r="D9" s="2">
        <v>1.805</v>
      </c>
      <c r="F9" s="2" t="s">
        <v>18</v>
      </c>
      <c r="G9" s="5">
        <f t="shared" ref="G9:I9" si="6">B17</f>
        <v>5</v>
      </c>
      <c r="H9" s="5">
        <f t="shared" si="6"/>
        <v>1</v>
      </c>
      <c r="I9" s="5">
        <f t="shared" si="6"/>
        <v>3</v>
      </c>
    </row>
    <row r="10">
      <c r="A10" s="2" t="s">
        <v>19</v>
      </c>
      <c r="B10" s="2">
        <v>2.117</v>
      </c>
      <c r="C10" s="2">
        <v>2.816</v>
      </c>
      <c r="D10" s="2">
        <v>1.55</v>
      </c>
      <c r="F10" s="2" t="s">
        <v>20</v>
      </c>
      <c r="G10" s="5">
        <f t="shared" ref="G10:I10" si="7">B18</f>
        <v>4.25</v>
      </c>
      <c r="H10" s="5">
        <f t="shared" si="7"/>
        <v>1</v>
      </c>
      <c r="I10" s="5">
        <f t="shared" si="7"/>
        <v>1.75</v>
      </c>
    </row>
    <row r="11">
      <c r="A11" s="6" t="s">
        <v>21</v>
      </c>
      <c r="B11" s="7"/>
      <c r="C11" s="7"/>
      <c r="D11" s="7"/>
      <c r="F11" s="2" t="s">
        <v>22</v>
      </c>
      <c r="G11" s="5">
        <f t="shared" ref="G11:I11" si="8">B19</f>
        <v>5</v>
      </c>
      <c r="H11" s="5">
        <f t="shared" si="8"/>
        <v>1</v>
      </c>
      <c r="I11" s="5">
        <f t="shared" si="8"/>
        <v>2</v>
      </c>
    </row>
    <row r="12">
      <c r="A12" s="2" t="s">
        <v>23</v>
      </c>
      <c r="B12" s="2">
        <v>3.6</v>
      </c>
      <c r="C12" s="2">
        <v>1.35</v>
      </c>
      <c r="D12" s="2">
        <v>2.885</v>
      </c>
      <c r="F12" s="2" t="s">
        <v>24</v>
      </c>
      <c r="G12" s="5">
        <f t="shared" ref="G12:I12" si="9">B20</f>
        <v>4</v>
      </c>
      <c r="H12" s="5">
        <f t="shared" si="9"/>
        <v>2.625</v>
      </c>
      <c r="I12" s="5">
        <f t="shared" si="9"/>
        <v>3.125</v>
      </c>
    </row>
    <row r="13">
      <c r="A13" s="2" t="s">
        <v>25</v>
      </c>
      <c r="B13" s="2">
        <v>1.5</v>
      </c>
      <c r="C13" s="2">
        <v>4.5</v>
      </c>
      <c r="D13" s="2">
        <v>4.5</v>
      </c>
      <c r="F13" s="2" t="s">
        <v>26</v>
      </c>
      <c r="G13" s="5">
        <f t="shared" ref="G13:I13" si="10">B21</f>
        <v>5</v>
      </c>
      <c r="H13" s="5">
        <f t="shared" si="10"/>
        <v>3.5</v>
      </c>
      <c r="I13" s="5">
        <f t="shared" si="10"/>
        <v>3</v>
      </c>
    </row>
    <row r="14">
      <c r="A14" s="2" t="s">
        <v>27</v>
      </c>
      <c r="B14" s="2">
        <v>4.25</v>
      </c>
      <c r="C14" s="2">
        <v>1.429</v>
      </c>
      <c r="D14" s="2">
        <v>2.634</v>
      </c>
    </row>
    <row r="15">
      <c r="A15" s="2" t="s">
        <v>28</v>
      </c>
      <c r="B15" s="2">
        <v>1.365</v>
      </c>
      <c r="C15" s="2">
        <v>2.643</v>
      </c>
      <c r="D15" s="2">
        <v>5.0</v>
      </c>
    </row>
    <row r="16">
      <c r="A16" s="2" t="s">
        <v>29</v>
      </c>
      <c r="B16" s="2">
        <v>5.0</v>
      </c>
      <c r="C16" s="2">
        <v>3.0</v>
      </c>
      <c r="D16" s="2">
        <v>2.0</v>
      </c>
      <c r="F16" s="2" t="s">
        <v>2</v>
      </c>
      <c r="G16" s="2" t="s">
        <v>6</v>
      </c>
      <c r="H16" s="2" t="s">
        <v>4</v>
      </c>
      <c r="I16" s="2" t="s">
        <v>5</v>
      </c>
    </row>
    <row r="17">
      <c r="A17" s="2" t="s">
        <v>30</v>
      </c>
      <c r="B17" s="2">
        <v>5.0</v>
      </c>
      <c r="C17" s="2">
        <v>1.0</v>
      </c>
      <c r="D17" s="2">
        <v>3.0</v>
      </c>
      <c r="F17" s="2" t="s">
        <v>31</v>
      </c>
      <c r="G17" s="5">
        <f t="shared" ref="G17:I17" si="11">B23</f>
        <v>1.009</v>
      </c>
      <c r="H17" s="5">
        <f t="shared" si="11"/>
        <v>4.942</v>
      </c>
      <c r="I17" s="5">
        <f t="shared" si="11"/>
        <v>1</v>
      </c>
    </row>
    <row r="18">
      <c r="A18" s="2" t="s">
        <v>32</v>
      </c>
      <c r="B18" s="2">
        <v>4.25</v>
      </c>
      <c r="C18" s="2">
        <v>1.0</v>
      </c>
      <c r="D18" s="2">
        <v>1.75</v>
      </c>
      <c r="F18" s="2" t="s">
        <v>33</v>
      </c>
      <c r="G18" s="5">
        <f t="shared" ref="G18:I18" si="12">B24</f>
        <v>3.707</v>
      </c>
      <c r="H18" s="5">
        <f t="shared" si="12"/>
        <v>1.338</v>
      </c>
      <c r="I18" s="5">
        <f t="shared" si="12"/>
        <v>1</v>
      </c>
    </row>
    <row r="19">
      <c r="A19" s="2" t="s">
        <v>34</v>
      </c>
      <c r="B19" s="2">
        <v>5.0</v>
      </c>
      <c r="C19" s="2">
        <v>1.0</v>
      </c>
      <c r="D19" s="2">
        <v>2.0</v>
      </c>
      <c r="F19" s="2" t="s">
        <v>35</v>
      </c>
      <c r="G19" s="5">
        <f t="shared" ref="G19:I19" si="13">B25</f>
        <v>3.737</v>
      </c>
      <c r="H19" s="5">
        <f t="shared" si="13"/>
        <v>1</v>
      </c>
      <c r="I19" s="5">
        <f t="shared" si="13"/>
        <v>1</v>
      </c>
    </row>
    <row r="20">
      <c r="A20" s="2" t="s">
        <v>36</v>
      </c>
      <c r="B20" s="2">
        <v>4.0</v>
      </c>
      <c r="C20" s="2">
        <v>2.625</v>
      </c>
      <c r="D20" s="2">
        <v>3.125</v>
      </c>
      <c r="F20" s="2" t="s">
        <v>37</v>
      </c>
      <c r="G20" s="5">
        <f t="shared" ref="G20:I20" si="14">B26</f>
        <v>3.42</v>
      </c>
      <c r="H20" s="5">
        <f t="shared" si="14"/>
        <v>1.002</v>
      </c>
      <c r="I20" s="5">
        <f t="shared" si="14"/>
        <v>1.063</v>
      </c>
    </row>
    <row r="21">
      <c r="A21" s="2" t="s">
        <v>38</v>
      </c>
      <c r="B21" s="2">
        <v>5.0</v>
      </c>
      <c r="C21" s="2">
        <v>3.5</v>
      </c>
      <c r="D21" s="2">
        <v>3.0</v>
      </c>
      <c r="F21" s="2" t="s">
        <v>39</v>
      </c>
      <c r="G21" s="5">
        <f t="shared" ref="G21:I21" si="15">B27</f>
        <v>5</v>
      </c>
      <c r="H21" s="5">
        <f t="shared" si="15"/>
        <v>3</v>
      </c>
      <c r="I21" s="5">
        <f t="shared" si="15"/>
        <v>3</v>
      </c>
    </row>
    <row r="22">
      <c r="A22" s="6" t="s">
        <v>40</v>
      </c>
      <c r="B22" s="7"/>
      <c r="C22" s="7"/>
      <c r="D22" s="7"/>
      <c r="F22" s="2" t="s">
        <v>41</v>
      </c>
      <c r="G22" s="5">
        <f t="shared" ref="G22:I22" si="16">B28</f>
        <v>1</v>
      </c>
      <c r="H22" s="5">
        <f t="shared" si="16"/>
        <v>1</v>
      </c>
      <c r="I22" s="5">
        <f t="shared" si="16"/>
        <v>1</v>
      </c>
    </row>
    <row r="23">
      <c r="A23" s="2" t="s">
        <v>42</v>
      </c>
      <c r="B23" s="2">
        <v>1.009</v>
      </c>
      <c r="C23" s="2">
        <v>4.942</v>
      </c>
      <c r="D23" s="2">
        <v>1.0</v>
      </c>
      <c r="F23" s="2" t="s">
        <v>43</v>
      </c>
      <c r="G23" s="5">
        <f t="shared" ref="G23:I23" si="17">B29</f>
        <v>1.8</v>
      </c>
      <c r="H23" s="5">
        <f t="shared" si="17"/>
        <v>1.5</v>
      </c>
      <c r="I23" s="5">
        <f t="shared" si="17"/>
        <v>1</v>
      </c>
    </row>
    <row r="24">
      <c r="A24" s="2" t="s">
        <v>44</v>
      </c>
      <c r="B24" s="2">
        <v>3.707</v>
      </c>
      <c r="C24" s="2">
        <v>1.338</v>
      </c>
      <c r="D24" s="2">
        <v>1.0</v>
      </c>
      <c r="F24" s="2" t="s">
        <v>45</v>
      </c>
      <c r="G24" s="5">
        <f t="shared" ref="G24:I24" si="18">B30</f>
        <v>5</v>
      </c>
      <c r="H24" s="5">
        <f t="shared" si="18"/>
        <v>1.474</v>
      </c>
      <c r="I24" s="5">
        <f t="shared" si="18"/>
        <v>1</v>
      </c>
    </row>
    <row r="25">
      <c r="A25" s="2" t="s">
        <v>46</v>
      </c>
      <c r="B25" s="2">
        <v>3.737</v>
      </c>
      <c r="C25" s="2">
        <v>1.0</v>
      </c>
      <c r="D25" s="2">
        <v>1.0</v>
      </c>
    </row>
    <row r="26">
      <c r="A26" s="2" t="s">
        <v>47</v>
      </c>
      <c r="B26" s="2">
        <v>3.42</v>
      </c>
      <c r="C26" s="2">
        <v>1.002</v>
      </c>
      <c r="D26" s="2">
        <v>1.063</v>
      </c>
    </row>
    <row r="27">
      <c r="A27" s="2" t="s">
        <v>48</v>
      </c>
      <c r="B27" s="2">
        <v>5.0</v>
      </c>
      <c r="C27" s="2">
        <v>3.0</v>
      </c>
      <c r="D27" s="2">
        <v>3.0</v>
      </c>
      <c r="F27" s="2" t="s">
        <v>2</v>
      </c>
      <c r="G27" s="2" t="s">
        <v>6</v>
      </c>
      <c r="H27" s="2" t="s">
        <v>4</v>
      </c>
      <c r="I27" s="2" t="s">
        <v>5</v>
      </c>
    </row>
    <row r="28">
      <c r="A28" s="2" t="s">
        <v>49</v>
      </c>
      <c r="B28" s="2">
        <v>1.0</v>
      </c>
      <c r="C28" s="2">
        <v>1.0</v>
      </c>
      <c r="D28" s="2">
        <v>1.0</v>
      </c>
      <c r="F28" s="2" t="s">
        <v>50</v>
      </c>
      <c r="G28" s="5">
        <f t="shared" ref="G28:I28" si="19">B32</f>
        <v>1.588</v>
      </c>
      <c r="H28" s="5">
        <f t="shared" si="19"/>
        <v>4.116</v>
      </c>
      <c r="I28" s="5">
        <f t="shared" si="19"/>
        <v>2.386</v>
      </c>
    </row>
    <row r="29">
      <c r="A29" s="2" t="s">
        <v>51</v>
      </c>
      <c r="B29" s="2">
        <v>1.8</v>
      </c>
      <c r="C29" s="2">
        <v>1.5</v>
      </c>
      <c r="D29" s="2">
        <v>1.0</v>
      </c>
      <c r="F29" s="2" t="s">
        <v>52</v>
      </c>
      <c r="G29" s="5">
        <f t="shared" ref="G29:I29" si="20">B33</f>
        <v>1.179</v>
      </c>
      <c r="H29" s="5">
        <f t="shared" si="20"/>
        <v>2.15</v>
      </c>
      <c r="I29" s="5">
        <f t="shared" si="20"/>
        <v>1.678</v>
      </c>
    </row>
    <row r="30">
      <c r="A30" s="2" t="s">
        <v>53</v>
      </c>
      <c r="B30" s="2">
        <v>5.0</v>
      </c>
      <c r="C30" s="2">
        <v>1.474</v>
      </c>
      <c r="D30" s="2">
        <v>1.0</v>
      </c>
      <c r="F30" s="2" t="s">
        <v>54</v>
      </c>
      <c r="G30" s="5">
        <f t="shared" ref="G30:I30" si="21">B34</f>
        <v>3.697</v>
      </c>
      <c r="H30" s="5">
        <f t="shared" si="21"/>
        <v>2.968</v>
      </c>
      <c r="I30" s="5">
        <f t="shared" si="21"/>
        <v>2.044</v>
      </c>
    </row>
    <row r="31">
      <c r="A31" s="6" t="s">
        <v>55</v>
      </c>
      <c r="B31" s="7"/>
      <c r="C31" s="7"/>
      <c r="D31" s="7"/>
      <c r="F31" s="2" t="s">
        <v>56</v>
      </c>
      <c r="G31" s="5">
        <f t="shared" ref="G31:I31" si="22">B35</f>
        <v>1.016</v>
      </c>
      <c r="H31" s="5">
        <f t="shared" si="22"/>
        <v>2.505</v>
      </c>
      <c r="I31" s="5">
        <f t="shared" si="22"/>
        <v>1.043</v>
      </c>
    </row>
    <row r="32">
      <c r="A32" s="2" t="s">
        <v>57</v>
      </c>
      <c r="B32" s="2">
        <v>1.588</v>
      </c>
      <c r="C32" s="2">
        <v>4.116</v>
      </c>
      <c r="D32" s="2">
        <v>2.386</v>
      </c>
      <c r="F32" s="2" t="s">
        <v>58</v>
      </c>
      <c r="G32" s="5">
        <f t="shared" ref="G32:I32" si="23">B36</f>
        <v>1</v>
      </c>
      <c r="H32" s="5">
        <f t="shared" si="23"/>
        <v>1.002</v>
      </c>
      <c r="I32" s="5">
        <f t="shared" si="23"/>
        <v>1</v>
      </c>
    </row>
    <row r="33">
      <c r="A33" s="2" t="s">
        <v>59</v>
      </c>
      <c r="B33" s="2">
        <v>1.179</v>
      </c>
      <c r="C33" s="2">
        <v>2.15</v>
      </c>
      <c r="D33" s="2">
        <v>1.678</v>
      </c>
    </row>
    <row r="34">
      <c r="A34" s="2" t="s">
        <v>60</v>
      </c>
      <c r="B34" s="2">
        <v>3.697</v>
      </c>
      <c r="C34" s="2">
        <v>2.968</v>
      </c>
      <c r="D34" s="2">
        <v>2.044</v>
      </c>
    </row>
    <row r="35">
      <c r="A35" s="2" t="s">
        <v>61</v>
      </c>
      <c r="B35" s="2">
        <v>1.016</v>
      </c>
      <c r="C35" s="2">
        <v>2.505</v>
      </c>
      <c r="D35" s="2">
        <v>1.043</v>
      </c>
    </row>
    <row r="36">
      <c r="A36" s="2" t="s">
        <v>62</v>
      </c>
      <c r="B36" s="2">
        <v>1.0</v>
      </c>
      <c r="C36" s="2">
        <v>1.002</v>
      </c>
      <c r="D36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2.13"/>
    <col customWidth="1" min="3" max="3" width="28.88"/>
    <col customWidth="1" min="5" max="5" width="46.75"/>
  </cols>
  <sheetData>
    <row r="1">
      <c r="A1" s="8" t="s">
        <v>63</v>
      </c>
    </row>
    <row r="2">
      <c r="A2" s="4" t="s">
        <v>64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" t="s">
        <v>70</v>
      </c>
      <c r="B3" s="2" t="s">
        <v>71</v>
      </c>
      <c r="C3" s="2" t="s">
        <v>72</v>
      </c>
      <c r="D3" s="2">
        <v>2025.0</v>
      </c>
      <c r="E3" s="10" t="s">
        <v>73</v>
      </c>
      <c r="F3" s="10" t="s">
        <v>74</v>
      </c>
    </row>
    <row r="4">
      <c r="A4" s="2" t="s">
        <v>75</v>
      </c>
      <c r="B4" s="2" t="s">
        <v>76</v>
      </c>
      <c r="C4" s="2" t="s">
        <v>77</v>
      </c>
      <c r="D4" s="2">
        <v>2024.0</v>
      </c>
      <c r="E4" s="10" t="s">
        <v>78</v>
      </c>
      <c r="F4" s="10" t="s">
        <v>79</v>
      </c>
    </row>
    <row r="5">
      <c r="A5" s="2" t="s">
        <v>80</v>
      </c>
      <c r="B5" s="2" t="s">
        <v>81</v>
      </c>
      <c r="C5" s="2" t="s">
        <v>72</v>
      </c>
      <c r="D5" s="2">
        <v>2024.0</v>
      </c>
      <c r="E5" s="10" t="s">
        <v>82</v>
      </c>
      <c r="F5" s="10" t="s">
        <v>83</v>
      </c>
    </row>
    <row r="6">
      <c r="A6" s="2" t="s">
        <v>84</v>
      </c>
      <c r="B6" s="2" t="s">
        <v>85</v>
      </c>
      <c r="C6" s="2" t="s">
        <v>72</v>
      </c>
      <c r="D6" s="2">
        <v>2022.0</v>
      </c>
      <c r="E6" s="10" t="s">
        <v>86</v>
      </c>
      <c r="F6" s="10" t="s">
        <v>87</v>
      </c>
    </row>
  </sheetData>
  <hyperlinks>
    <hyperlink r:id="rId1" ref="E3"/>
    <hyperlink r:id="rId2" ref="F3"/>
    <hyperlink r:id="rId3" ref="E4"/>
    <hyperlink r:id="rId4" ref="F4"/>
    <hyperlink r:id="rId5" ref="E5"/>
    <hyperlink r:id="rId6" ref="F5"/>
    <hyperlink r:id="rId7" ref="E6"/>
    <hyperlink r:id="rId8" ref="F6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88</v>
      </c>
      <c r="B1" s="2" t="s">
        <v>89</v>
      </c>
      <c r="D1" s="2" t="s">
        <v>88</v>
      </c>
      <c r="E1" s="2" t="s">
        <v>89</v>
      </c>
      <c r="G1" s="2" t="s">
        <v>88</v>
      </c>
      <c r="H1" s="2" t="s">
        <v>89</v>
      </c>
      <c r="J1" s="2" t="s">
        <v>88</v>
      </c>
      <c r="K1" s="2" t="s">
        <v>89</v>
      </c>
    </row>
    <row r="2">
      <c r="A2" s="2" t="s">
        <v>4</v>
      </c>
      <c r="B2" s="2">
        <v>1.0</v>
      </c>
      <c r="D2" s="2" t="s">
        <v>4</v>
      </c>
      <c r="E2" s="2">
        <v>1.0</v>
      </c>
      <c r="G2" s="2" t="s">
        <v>5</v>
      </c>
      <c r="H2" s="2">
        <v>2.0</v>
      </c>
      <c r="J2" s="2" t="s">
        <v>90</v>
      </c>
      <c r="K2" s="2">
        <v>1.0</v>
      </c>
    </row>
    <row r="3">
      <c r="A3" s="2" t="s">
        <v>5</v>
      </c>
      <c r="B3" s="2">
        <v>2.0</v>
      </c>
    </row>
    <row r="4">
      <c r="A4" s="2" t="s">
        <v>90</v>
      </c>
      <c r="B4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20.13"/>
    <col customWidth="1" min="3" max="3" width="11.13"/>
    <col customWidth="1" min="4" max="4" width="5.13"/>
  </cols>
  <sheetData>
    <row r="1">
      <c r="A1" s="1" t="s">
        <v>91</v>
      </c>
    </row>
    <row r="2">
      <c r="A2" s="2" t="s">
        <v>92</v>
      </c>
    </row>
    <row r="3">
      <c r="A3" s="11" t="s">
        <v>2</v>
      </c>
      <c r="B3" s="11" t="s">
        <v>3</v>
      </c>
      <c r="C3" s="11" t="s">
        <v>4</v>
      </c>
      <c r="D3" s="11" t="s">
        <v>5</v>
      </c>
    </row>
    <row r="4">
      <c r="A4" s="4" t="s">
        <v>93</v>
      </c>
      <c r="B4" s="2">
        <v>106.7</v>
      </c>
      <c r="C4" s="2">
        <v>63.2</v>
      </c>
      <c r="D4" s="2">
        <v>59.1</v>
      </c>
    </row>
    <row r="5">
      <c r="A5" s="4" t="s">
        <v>94</v>
      </c>
      <c r="B5" s="2" t="s">
        <v>95</v>
      </c>
      <c r="C5" s="2" t="s">
        <v>96</v>
      </c>
      <c r="D5" s="2" t="s">
        <v>97</v>
      </c>
    </row>
    <row r="6">
      <c r="A6" s="4" t="s">
        <v>98</v>
      </c>
      <c r="B6" s="2">
        <v>-0.5</v>
      </c>
      <c r="C6" s="2">
        <v>-2.1</v>
      </c>
      <c r="D6" s="2">
        <v>-0.4</v>
      </c>
    </row>
    <row r="7">
      <c r="A7" s="4" t="s">
        <v>99</v>
      </c>
      <c r="B7" s="2">
        <v>-3.5</v>
      </c>
      <c r="C7" s="2">
        <v>-7.2</v>
      </c>
      <c r="D7" s="2">
        <v>-1.7</v>
      </c>
    </row>
    <row r="8">
      <c r="A8" s="4" t="s">
        <v>100</v>
      </c>
      <c r="B8" s="2">
        <v>-3.5</v>
      </c>
      <c r="C8" s="2">
        <v>-9.9</v>
      </c>
      <c r="D8" s="2">
        <v>-11.7</v>
      </c>
    </row>
    <row r="9">
      <c r="A9" s="12" t="s">
        <v>101</v>
      </c>
      <c r="B9" s="13"/>
      <c r="C9" s="13"/>
      <c r="D9" s="13"/>
    </row>
    <row r="10">
      <c r="A10" s="4" t="s">
        <v>102</v>
      </c>
      <c r="B10" s="2">
        <v>8.3</v>
      </c>
      <c r="C10" s="2">
        <v>4.8</v>
      </c>
      <c r="D10" s="2">
        <v>3.1</v>
      </c>
    </row>
    <row r="11">
      <c r="A11" s="4" t="s">
        <v>103</v>
      </c>
      <c r="B11" s="2">
        <v>9.9</v>
      </c>
      <c r="C11" s="2">
        <v>8.5</v>
      </c>
      <c r="D11" s="2">
        <v>7.0</v>
      </c>
    </row>
    <row r="12">
      <c r="A12" s="4" t="s">
        <v>104</v>
      </c>
      <c r="B12" s="2">
        <v>9.4</v>
      </c>
      <c r="C12" s="2">
        <v>9.6</v>
      </c>
      <c r="D12" s="2">
        <v>2.5</v>
      </c>
    </row>
    <row r="13">
      <c r="A13" s="12" t="s">
        <v>105</v>
      </c>
      <c r="B13" s="13"/>
      <c r="C13" s="13"/>
      <c r="D13" s="13"/>
    </row>
    <row r="14">
      <c r="A14" s="4" t="s">
        <v>106</v>
      </c>
      <c r="B14" s="2">
        <v>8.2</v>
      </c>
      <c r="C14" s="2">
        <v>3.7</v>
      </c>
      <c r="D14" s="2">
        <v>5.7</v>
      </c>
    </row>
    <row r="15">
      <c r="A15" s="4" t="s">
        <v>107</v>
      </c>
      <c r="B15" s="2">
        <v>8.5</v>
      </c>
      <c r="C15" s="2">
        <v>4.5</v>
      </c>
      <c r="D15" s="2">
        <v>3.7</v>
      </c>
    </row>
    <row r="16">
      <c r="A16" s="4" t="s">
        <v>108</v>
      </c>
      <c r="B16" s="2">
        <v>6.3</v>
      </c>
      <c r="C16" s="2">
        <v>2.4</v>
      </c>
      <c r="D16" s="2">
        <v>5.7</v>
      </c>
    </row>
    <row r="17">
      <c r="A17" s="12" t="s">
        <v>109</v>
      </c>
      <c r="B17" s="13"/>
      <c r="C17" s="13"/>
      <c r="D17" s="13"/>
    </row>
    <row r="18">
      <c r="A18" s="4" t="s">
        <v>110</v>
      </c>
      <c r="B18" s="2">
        <v>9.4</v>
      </c>
      <c r="C18" s="2">
        <v>7.5</v>
      </c>
      <c r="D18" s="2">
        <v>7.8</v>
      </c>
    </row>
    <row r="19">
      <c r="A19" s="4" t="s">
        <v>111</v>
      </c>
      <c r="B19" s="2">
        <v>9.2</v>
      </c>
      <c r="C19" s="2">
        <v>3.5</v>
      </c>
      <c r="D19" s="2">
        <v>4.6</v>
      </c>
    </row>
    <row r="20">
      <c r="A20" s="4" t="s">
        <v>112</v>
      </c>
      <c r="B20" s="2">
        <v>9.0</v>
      </c>
      <c r="C20" s="2">
        <v>7.8</v>
      </c>
      <c r="D20" s="2">
        <v>6.0</v>
      </c>
    </row>
    <row r="21">
      <c r="A21" s="12" t="s">
        <v>113</v>
      </c>
      <c r="B21" s="13"/>
      <c r="C21" s="13"/>
      <c r="D21" s="13"/>
    </row>
    <row r="22">
      <c r="A22" s="4" t="s">
        <v>114</v>
      </c>
      <c r="B22" s="2">
        <v>9.8</v>
      </c>
      <c r="C22" s="2">
        <v>4.0</v>
      </c>
      <c r="D22" s="2">
        <v>5.4</v>
      </c>
    </row>
    <row r="23">
      <c r="A23" s="4" t="s">
        <v>115</v>
      </c>
      <c r="B23" s="2">
        <v>9.9</v>
      </c>
      <c r="C23" s="2">
        <v>2.9</v>
      </c>
      <c r="D23" s="2">
        <v>3.5</v>
      </c>
    </row>
    <row r="24">
      <c r="A24" s="12" t="s">
        <v>116</v>
      </c>
      <c r="B24" s="13"/>
      <c r="C24" s="13"/>
      <c r="D24" s="13"/>
    </row>
    <row r="25">
      <c r="A25" s="4" t="s">
        <v>117</v>
      </c>
      <c r="B25" s="2">
        <v>8.8</v>
      </c>
      <c r="C25" s="2">
        <v>4.0</v>
      </c>
      <c r="D25" s="2">
        <v>4.1</v>
      </c>
    </row>
    <row r="28">
      <c r="E28" s="2" t="s">
        <v>2</v>
      </c>
      <c r="F28" s="2" t="s">
        <v>6</v>
      </c>
      <c r="G28" s="2" t="s">
        <v>4</v>
      </c>
      <c r="H28" s="2" t="s">
        <v>5</v>
      </c>
    </row>
    <row r="29">
      <c r="E29" s="2" t="s">
        <v>118</v>
      </c>
      <c r="F29" s="5">
        <f t="shared" ref="F29:H29" si="1">B10</f>
        <v>8.3</v>
      </c>
      <c r="G29" s="5">
        <f t="shared" si="1"/>
        <v>4.8</v>
      </c>
      <c r="H29" s="5">
        <f t="shared" si="1"/>
        <v>3.1</v>
      </c>
    </row>
    <row r="30">
      <c r="E30" s="2" t="s">
        <v>119</v>
      </c>
      <c r="F30" s="5">
        <f t="shared" ref="F30:H30" si="2">B11</f>
        <v>9.9</v>
      </c>
      <c r="G30" s="5">
        <f t="shared" si="2"/>
        <v>8.5</v>
      </c>
      <c r="H30" s="5">
        <f t="shared" si="2"/>
        <v>7</v>
      </c>
    </row>
    <row r="31">
      <c r="E31" s="2" t="s">
        <v>120</v>
      </c>
      <c r="F31" s="5">
        <f t="shared" ref="F31:H31" si="3">B12</f>
        <v>9.4</v>
      </c>
      <c r="G31" s="5">
        <f t="shared" si="3"/>
        <v>9.6</v>
      </c>
      <c r="H31" s="5">
        <f t="shared" si="3"/>
        <v>2.5</v>
      </c>
    </row>
    <row r="32">
      <c r="E32" s="2" t="s">
        <v>121</v>
      </c>
      <c r="F32" s="5">
        <f t="shared" ref="F32:H32" si="4">B14</f>
        <v>8.2</v>
      </c>
      <c r="G32" s="5">
        <f t="shared" si="4"/>
        <v>3.7</v>
      </c>
      <c r="H32" s="5">
        <f t="shared" si="4"/>
        <v>5.7</v>
      </c>
    </row>
    <row r="33">
      <c r="E33" s="2" t="s">
        <v>122</v>
      </c>
      <c r="F33" s="5">
        <f t="shared" ref="F33:H33" si="5">B15</f>
        <v>8.5</v>
      </c>
      <c r="G33" s="5">
        <f t="shared" si="5"/>
        <v>4.5</v>
      </c>
      <c r="H33" s="5">
        <f t="shared" si="5"/>
        <v>3.7</v>
      </c>
    </row>
    <row r="34">
      <c r="E34" s="2" t="s">
        <v>123</v>
      </c>
      <c r="F34" s="5">
        <f t="shared" ref="F34:H34" si="6">B16</f>
        <v>6.3</v>
      </c>
      <c r="G34" s="5">
        <f t="shared" si="6"/>
        <v>2.4</v>
      </c>
      <c r="H34" s="5">
        <f t="shared" si="6"/>
        <v>5.7</v>
      </c>
    </row>
    <row r="35">
      <c r="E35" s="2" t="s">
        <v>124</v>
      </c>
      <c r="F35" s="5">
        <f t="shared" ref="F35:H35" si="7">B18</f>
        <v>9.4</v>
      </c>
      <c r="G35" s="5">
        <f t="shared" si="7"/>
        <v>7.5</v>
      </c>
      <c r="H35" s="5">
        <f t="shared" si="7"/>
        <v>7.8</v>
      </c>
    </row>
    <row r="36">
      <c r="E36" s="2" t="s">
        <v>125</v>
      </c>
      <c r="F36" s="5">
        <f t="shared" ref="F36:H36" si="8">B19</f>
        <v>9.2</v>
      </c>
      <c r="G36" s="5">
        <f t="shared" si="8"/>
        <v>3.5</v>
      </c>
      <c r="H36" s="5">
        <f t="shared" si="8"/>
        <v>4.6</v>
      </c>
    </row>
    <row r="37">
      <c r="E37" s="2" t="s">
        <v>126</v>
      </c>
      <c r="F37" s="5">
        <f t="shared" ref="F37:H37" si="9">B20</f>
        <v>9</v>
      </c>
      <c r="G37" s="5">
        <f t="shared" si="9"/>
        <v>7.8</v>
      </c>
      <c r="H37" s="5">
        <f t="shared" si="9"/>
        <v>6</v>
      </c>
    </row>
    <row r="38">
      <c r="E38" s="2" t="s">
        <v>127</v>
      </c>
      <c r="F38" s="5">
        <f t="shared" ref="F38:H38" si="10">B22</f>
        <v>9.8</v>
      </c>
      <c r="G38" s="5">
        <f t="shared" si="10"/>
        <v>4</v>
      </c>
      <c r="H38" s="5">
        <f t="shared" si="10"/>
        <v>5.4</v>
      </c>
    </row>
    <row r="39">
      <c r="E39" s="2" t="s">
        <v>128</v>
      </c>
      <c r="F39" s="5">
        <f t="shared" ref="F39:H39" si="11">B23</f>
        <v>9.9</v>
      </c>
      <c r="G39" s="5">
        <f t="shared" si="11"/>
        <v>2.9</v>
      </c>
      <c r="H39" s="5">
        <f t="shared" si="11"/>
        <v>3.5</v>
      </c>
    </row>
    <row r="40">
      <c r="E40" s="2" t="s">
        <v>129</v>
      </c>
      <c r="F40" s="5">
        <f t="shared" ref="F40:H40" si="12">B25</f>
        <v>8.8</v>
      </c>
      <c r="G40" s="5">
        <f t="shared" si="12"/>
        <v>4</v>
      </c>
      <c r="H40" s="5">
        <f t="shared" si="12"/>
        <v>4.1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130</v>
      </c>
      <c r="F1" s="2" t="s">
        <v>88</v>
      </c>
      <c r="G1" s="2" t="s">
        <v>131</v>
      </c>
    </row>
    <row r="2">
      <c r="A2" s="2" t="s">
        <v>132</v>
      </c>
      <c r="F2" s="2" t="s">
        <v>6</v>
      </c>
      <c r="G2" s="5">
        <f>B6</f>
        <v>6.768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F3" s="2" t="s">
        <v>4</v>
      </c>
      <c r="G3" s="5">
        <f>C6</f>
        <v>0.845</v>
      </c>
    </row>
    <row r="4">
      <c r="A4" s="4" t="s">
        <v>7</v>
      </c>
      <c r="B4" s="2">
        <v>6.77</v>
      </c>
      <c r="C4" s="2">
        <v>0.85</v>
      </c>
      <c r="D4" s="2" t="s">
        <v>133</v>
      </c>
      <c r="F4" s="2" t="s">
        <v>5</v>
      </c>
      <c r="G4" s="5">
        <f>D6</f>
        <v>0</v>
      </c>
    </row>
    <row r="5">
      <c r="A5" s="4" t="s">
        <v>9</v>
      </c>
      <c r="B5" s="2">
        <v>12.0</v>
      </c>
      <c r="C5" s="2">
        <v>75.0</v>
      </c>
      <c r="D5" s="2" t="s">
        <v>134</v>
      </c>
    </row>
    <row r="6">
      <c r="A6" s="4" t="s">
        <v>135</v>
      </c>
      <c r="B6" s="2">
        <v>6.768</v>
      </c>
      <c r="C6" s="2">
        <v>0.845</v>
      </c>
      <c r="D6" s="2">
        <v>0.0</v>
      </c>
    </row>
    <row r="7">
      <c r="A7" s="4" t="s">
        <v>136</v>
      </c>
      <c r="B7" s="2">
        <v>30.0</v>
      </c>
      <c r="C7" s="2">
        <v>0.0</v>
      </c>
      <c r="D7" s="2">
        <v>0.0</v>
      </c>
      <c r="F7" s="2" t="s">
        <v>88</v>
      </c>
      <c r="G7" s="2" t="s">
        <v>136</v>
      </c>
      <c r="H7" s="2" t="s">
        <v>137</v>
      </c>
      <c r="I7" s="2" t="s">
        <v>138</v>
      </c>
      <c r="J7" s="2" t="s">
        <v>139</v>
      </c>
    </row>
    <row r="8">
      <c r="A8" s="4" t="s">
        <v>137</v>
      </c>
      <c r="B8" s="2">
        <v>304.0</v>
      </c>
      <c r="C8" s="2">
        <v>0.0</v>
      </c>
      <c r="D8" s="2">
        <v>0.0</v>
      </c>
      <c r="F8" s="2" t="s">
        <v>6</v>
      </c>
      <c r="G8" s="5">
        <f>B7</f>
        <v>30</v>
      </c>
      <c r="H8" s="5">
        <f>B8</f>
        <v>304</v>
      </c>
      <c r="I8" s="5">
        <f>B9</f>
        <v>14</v>
      </c>
      <c r="J8" s="5">
        <f>B10</f>
        <v>21</v>
      </c>
    </row>
    <row r="9">
      <c r="A9" s="4" t="s">
        <v>138</v>
      </c>
      <c r="B9" s="2">
        <v>14.0</v>
      </c>
      <c r="C9" s="2">
        <v>0.0</v>
      </c>
      <c r="D9" s="2">
        <v>0.0</v>
      </c>
      <c r="F9" s="2" t="s">
        <v>4</v>
      </c>
      <c r="G9" s="5">
        <f>C7</f>
        <v>0</v>
      </c>
      <c r="H9" s="5">
        <f>C8</f>
        <v>0</v>
      </c>
      <c r="I9" s="5">
        <f>C9</f>
        <v>0</v>
      </c>
      <c r="J9" s="5">
        <f>C10</f>
        <v>0</v>
      </c>
    </row>
    <row r="10">
      <c r="A10" s="4" t="s">
        <v>139</v>
      </c>
      <c r="B10" s="2">
        <v>21.0</v>
      </c>
      <c r="C10" s="2">
        <v>0.0</v>
      </c>
      <c r="D10" s="2">
        <v>0.0</v>
      </c>
      <c r="F10" s="2" t="s">
        <v>5</v>
      </c>
      <c r="G10" s="5">
        <f>D7</f>
        <v>0</v>
      </c>
      <c r="H10" s="5">
        <f>D8</f>
        <v>0</v>
      </c>
      <c r="I10" s="5">
        <f>D9</f>
        <v>0</v>
      </c>
      <c r="J10" s="5">
        <f>D10</f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20.13"/>
    <col customWidth="1" min="3" max="3" width="11.13"/>
    <col customWidth="1" min="4" max="4" width="5.13"/>
  </cols>
  <sheetData>
    <row r="1">
      <c r="A1" s="1" t="s">
        <v>140</v>
      </c>
    </row>
    <row r="2">
      <c r="A2" s="2" t="s">
        <v>141</v>
      </c>
    </row>
    <row r="3">
      <c r="A3" s="15" t="s">
        <v>2</v>
      </c>
      <c r="B3" s="15" t="s">
        <v>3</v>
      </c>
      <c r="C3" s="15" t="s">
        <v>4</v>
      </c>
      <c r="D3" s="15" t="s">
        <v>5</v>
      </c>
    </row>
    <row r="4">
      <c r="A4" s="4" t="s">
        <v>7</v>
      </c>
      <c r="B4" s="2">
        <v>4.17</v>
      </c>
      <c r="C4" s="2">
        <v>3.14</v>
      </c>
      <c r="D4" s="2">
        <v>3.36</v>
      </c>
    </row>
    <row r="5">
      <c r="A5" s="4" t="s">
        <v>9</v>
      </c>
      <c r="B5" s="2">
        <v>158.0</v>
      </c>
      <c r="C5" s="2">
        <v>76.0</v>
      </c>
      <c r="D5" s="2">
        <v>99.0</v>
      </c>
    </row>
    <row r="6">
      <c r="A6" s="4" t="s">
        <v>142</v>
      </c>
      <c r="B6" s="2">
        <v>4.169</v>
      </c>
      <c r="C6" s="2">
        <v>3.143</v>
      </c>
      <c r="D6" s="2">
        <v>3.359</v>
      </c>
    </row>
    <row r="7">
      <c r="A7" s="16" t="s">
        <v>143</v>
      </c>
      <c r="B7" s="17"/>
      <c r="C7" s="17"/>
      <c r="D7" s="17"/>
      <c r="E7" s="2" t="s">
        <v>144</v>
      </c>
      <c r="F7" s="2" t="s">
        <v>6</v>
      </c>
      <c r="G7" s="2" t="s">
        <v>4</v>
      </c>
      <c r="H7" s="2" t="s">
        <v>5</v>
      </c>
    </row>
    <row r="8">
      <c r="A8" s="4" t="s">
        <v>145</v>
      </c>
      <c r="B8" s="2">
        <v>4.316</v>
      </c>
      <c r="C8" s="2">
        <v>3.164</v>
      </c>
      <c r="D8" s="2">
        <v>2.14</v>
      </c>
      <c r="E8" s="2" t="s">
        <v>146</v>
      </c>
      <c r="F8" s="5">
        <f t="shared" ref="F8:H8" si="1">B8</f>
        <v>4.316</v>
      </c>
      <c r="G8" s="5">
        <f t="shared" si="1"/>
        <v>3.164</v>
      </c>
      <c r="H8" s="5">
        <f t="shared" si="1"/>
        <v>2.14</v>
      </c>
    </row>
    <row r="9">
      <c r="A9" s="4" t="s">
        <v>147</v>
      </c>
      <c r="B9" s="2">
        <v>3.565</v>
      </c>
      <c r="C9" s="2">
        <v>2.61</v>
      </c>
      <c r="D9" s="2">
        <v>2.584</v>
      </c>
      <c r="E9" s="2" t="s">
        <v>148</v>
      </c>
      <c r="F9" s="5">
        <f t="shared" ref="F9:H9" si="2">B9</f>
        <v>3.565</v>
      </c>
      <c r="G9" s="5">
        <f t="shared" si="2"/>
        <v>2.61</v>
      </c>
      <c r="H9" s="5">
        <f t="shared" si="2"/>
        <v>2.584</v>
      </c>
    </row>
    <row r="10">
      <c r="A10" s="4" t="s">
        <v>149</v>
      </c>
      <c r="B10" s="2">
        <v>3.533</v>
      </c>
      <c r="C10" s="2">
        <v>2.881</v>
      </c>
      <c r="D10" s="2">
        <v>3.752</v>
      </c>
      <c r="E10" s="2" t="s">
        <v>150</v>
      </c>
      <c r="F10" s="5">
        <f t="shared" ref="F10:H10" si="3">B10</f>
        <v>3.533</v>
      </c>
      <c r="G10" s="5">
        <f t="shared" si="3"/>
        <v>2.881</v>
      </c>
      <c r="H10" s="5">
        <f t="shared" si="3"/>
        <v>3.752</v>
      </c>
    </row>
    <row r="11">
      <c r="A11" s="4" t="s">
        <v>151</v>
      </c>
      <c r="B11" s="2">
        <v>4.228</v>
      </c>
      <c r="C11" s="2">
        <v>3.629</v>
      </c>
      <c r="D11" s="2">
        <v>3.612</v>
      </c>
      <c r="E11" s="2" t="s">
        <v>152</v>
      </c>
      <c r="F11" s="5">
        <f t="shared" ref="F11:H11" si="4">B11</f>
        <v>4.228</v>
      </c>
      <c r="G11" s="5">
        <f t="shared" si="4"/>
        <v>3.629</v>
      </c>
      <c r="H11" s="5">
        <f t="shared" si="4"/>
        <v>3.612</v>
      </c>
    </row>
    <row r="12">
      <c r="A12" s="4" t="s">
        <v>153</v>
      </c>
      <c r="B12" s="2">
        <v>3.797</v>
      </c>
      <c r="C12" s="2">
        <v>2.886</v>
      </c>
      <c r="D12" s="2">
        <v>3.087</v>
      </c>
      <c r="E12" s="2" t="s">
        <v>154</v>
      </c>
      <c r="F12" s="5">
        <f t="shared" ref="F12:H12" si="5">B12</f>
        <v>3.797</v>
      </c>
      <c r="G12" s="5">
        <f t="shared" si="5"/>
        <v>2.886</v>
      </c>
      <c r="H12" s="5">
        <f t="shared" si="5"/>
        <v>3.087</v>
      </c>
    </row>
    <row r="13">
      <c r="A13" s="4" t="s">
        <v>155</v>
      </c>
      <c r="B13" s="2">
        <v>4.565</v>
      </c>
      <c r="C13" s="2">
        <v>3.367</v>
      </c>
      <c r="D13" s="2">
        <v>3.777</v>
      </c>
      <c r="E13" s="2" t="s">
        <v>156</v>
      </c>
      <c r="F13" s="5">
        <f t="shared" ref="F13:H13" si="6">B13</f>
        <v>4.565</v>
      </c>
      <c r="G13" s="5">
        <f t="shared" si="6"/>
        <v>3.367</v>
      </c>
      <c r="H13" s="5">
        <f t="shared" si="6"/>
        <v>3.777</v>
      </c>
    </row>
    <row r="14">
      <c r="A14" s="4" t="s">
        <v>157</v>
      </c>
      <c r="B14" s="2">
        <v>4.61</v>
      </c>
      <c r="C14" s="2">
        <v>3.286</v>
      </c>
      <c r="D14" s="2">
        <v>4.227</v>
      </c>
      <c r="E14" s="2" t="s">
        <v>158</v>
      </c>
      <c r="F14" s="5">
        <f t="shared" ref="F14:H14" si="7">B14</f>
        <v>4.61</v>
      </c>
      <c r="G14" s="5">
        <f t="shared" si="7"/>
        <v>3.286</v>
      </c>
      <c r="H14" s="5">
        <f t="shared" si="7"/>
        <v>4.227</v>
      </c>
    </row>
    <row r="15">
      <c r="A15" s="4" t="s">
        <v>159</v>
      </c>
      <c r="B15" s="2">
        <v>4.545</v>
      </c>
      <c r="C15" s="2">
        <v>3.271</v>
      </c>
      <c r="D15" s="2">
        <v>3.685</v>
      </c>
      <c r="E15" s="2" t="s">
        <v>160</v>
      </c>
      <c r="F15" s="5">
        <f t="shared" ref="F15:H15" si="8">B15</f>
        <v>4.545</v>
      </c>
      <c r="G15" s="5">
        <f t="shared" si="8"/>
        <v>3.271</v>
      </c>
      <c r="H15" s="5">
        <f t="shared" si="8"/>
        <v>3.685</v>
      </c>
    </row>
  </sheetData>
  <drawing r:id="rId1"/>
</worksheet>
</file>